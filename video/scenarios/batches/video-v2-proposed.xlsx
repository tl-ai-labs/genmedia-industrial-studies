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cenarios" sheetId="2" state="visible" r:id="rId2"/>
    <sheet name="Summary" sheetId="3" state="visible" r:id="rId3"/>
    <sheet name="Sources not found" sheetId="4" state="visible" r:id="rId4"/>
    <sheet name="Assumptions" sheetId="5" state="visible" r:id="rId5"/>
  </sheets>
  <definedNames>
    <definedName name="_xlnm._FilterDatabase" localSheetId="1" hidden="1">'Scenarios'!$A$1:$Y$104</definedName>
  </definedNames>
  <calcPr calcId="124519" fullCalcOnLoad="1"/>
</workbook>
</file>

<file path=xl/styles.xml><?xml version="1.0" encoding="utf-8"?>
<styleSheet xmlns="http://schemas.openxmlformats.org/spreadsheetml/2006/main">
  <numFmts count="2">
    <numFmt numFmtId="164" formatCode="$#,##0.00"/>
    <numFmt numFmtId="165" formatCode="$#,##0"/>
  </numFmts>
  <fonts count="6">
    <font>
      <name val="Calibri"/>
      <family val="2"/>
      <color theme="1"/>
      <sz val="11"/>
      <scheme val="minor"/>
    </font>
    <font>
      <name val="Arial"/>
      <color rgb="000000FF"/>
      <sz val="10"/>
    </font>
    <font>
      <name val="Arial"/>
      <b val="1"/>
      <color rgb="00FFFFFF"/>
      <sz val="10"/>
    </font>
    <font>
      <name val="Arial"/>
      <sz val="10"/>
    </font>
    <font>
      <name val="Arial"/>
      <b val="1"/>
      <sz val="13"/>
    </font>
    <font>
      <name val="Arial"/>
      <b val="1"/>
      <sz val="10"/>
    </font>
  </fonts>
  <fills count="6">
    <fill>
      <patternFill/>
    </fill>
    <fill>
      <patternFill patternType="gray125"/>
    </fill>
    <fill>
      <patternFill patternType="solid">
        <fgColor rgb="001F4E5A"/>
      </patternFill>
    </fill>
    <fill>
      <patternFill patternType="solid">
        <fgColor rgb="00FFFFFF"/>
      </patternFill>
    </fill>
    <fill>
      <patternFill patternType="solid">
        <fgColor rgb="00FFF4C2"/>
      </patternFill>
    </fill>
    <fill>
      <patternFill patternType="solid">
        <fgColor rgb="00EEF6F1"/>
      </patternFill>
    </fill>
  </fills>
  <borders count="2">
    <border>
      <left/>
      <right/>
      <top/>
      <bottom/>
      <diagonal/>
    </border>
    <border>
      <left style="thin">
        <color rgb="00D0D5DA"/>
      </left>
      <right style="thin">
        <color rgb="00D0D5DA"/>
      </right>
      <top style="thin">
        <color rgb="00D0D5DA"/>
      </top>
      <bottom style="thin">
        <color rgb="00D0D5DA"/>
      </bottom>
    </border>
  </borders>
  <cellStyleXfs count="1">
    <xf numFmtId="0" fontId="0" fillId="0" borderId="0"/>
  </cellStyleXfs>
  <cellXfs count="16">
    <xf numFmtId="0" fontId="0"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2" fillId="2" borderId="1" applyAlignment="1" pivotButton="0" quotePrefix="0" xfId="0">
      <alignment vertical="center" wrapText="1"/>
    </xf>
    <xf numFmtId="0" fontId="3" fillId="0" borderId="0" pivotButton="0" quotePrefix="0" xfId="0"/>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164" fontId="0" fillId="0" borderId="0" pivotButton="0" quotePrefix="0" xfId="0"/>
    <xf numFmtId="0" fontId="4" fillId="0" borderId="0" pivotButton="0" quotePrefix="0" xfId="0"/>
    <xf numFmtId="0" fontId="2" fillId="2" borderId="0" pivotButton="0" quotePrefix="0" xfId="0"/>
    <xf numFmtId="0" fontId="5" fillId="0" borderId="0" pivotButton="0" quotePrefix="0" xfId="0"/>
    <xf numFmtId="165" fontId="3" fillId="0" borderId="0" pivotButton="0" quotePrefix="0" xfId="0"/>
    <xf numFmtId="0" fontId="2" fillId="2" borderId="0" applyAlignment="1" pivotButton="0" quotePrefix="0" xfId="0">
      <alignment vertical="top" wrapText="1"/>
    </xf>
    <xf numFmtId="164"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Claude</author>
  </authors>
  <commentList>
    <comment ref="X1" authorId="0" shapeId="0">
      <text>
        <t>Pick Approve / Change / Drop. Yellow cells are the only ones to edit.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40" customWidth="1" min="1" max="1"/>
  </cols>
  <sheetData>
    <row r="1">
      <c r="A1" s="1" t="inlineStr">
        <is>
          <t>GenMedia video study — scenario bank and proposed batch</t>
        </is>
      </c>
    </row>
    <row r="2">
      <c r="A2" s="2" t="inlineStr">
        <is>
          <t>Prepared 2026-09-14. Scenarios tab holds the existing bank (60) and the proposed new scenarios (43) in one sheet — filter on the Group column.</t>
        </is>
      </c>
    </row>
    <row r="3">
      <c r="A3" s="2" t="inlineStr"/>
    </row>
    <row r="4">
      <c r="A4" s="3" t="inlineStr">
        <is>
          <t>How to review</t>
        </is>
      </c>
    </row>
    <row r="5">
      <c r="A5" s="2" t="inlineStr">
        <is>
          <t>Only the yellow cells are for you: 'Your decision' (Approve / Change / Drop) and 'Your comments'. Example: Your decision = Change · Your comments = 'Use a basketball clip instead of football'.</t>
        </is>
      </c>
    </row>
    <row r="6">
      <c r="A6" s="2" t="inlineStr">
        <is>
          <t>Prompts are what will be copied verbatim into the scenario sheet once approved. Adherence checks are what the judge scores.</t>
        </is>
      </c>
    </row>
    <row r="7">
      <c r="A7" s="2" t="inlineStr"/>
    </row>
    <row r="8">
      <c r="A8" s="3" t="inlineStr">
        <is>
          <t>What the columns mean</t>
        </is>
      </c>
    </row>
    <row r="9">
      <c r="A9" s="2" t="inlineStr">
        <is>
          <t>Source status — Ready: prepared input is in video/assets/bank with a licence file. Downloaded &amp; verified: original downloaded, SHA-1 checked, eyeballed; input still to cut/crop. Weak candidate / Downloading / Blocked: in progress. NOT FOUND and NO downloadable source: listed with options on the 'Sources not found' tab.</t>
        </is>
      </c>
    </row>
    <row r="10">
      <c r="A10" s="2" t="inlineStr">
        <is>
          <t>Ground truth (judge only) — a real photo or clip of the target view shown to the judge but never to the models. Needs a small runner change before those scenarios can run.</t>
        </is>
      </c>
    </row>
    <row r="11">
      <c r="A11" s="2" t="inlineStr">
        <is>
          <t>Est. cost per pair — both arms, one generation each, from the Assumptions tab.</t>
        </is>
      </c>
    </row>
    <row r="12">
      <c r="A12" s="2" t="inlineStr"/>
    </row>
    <row r="13">
      <c r="A13" s="3" t="inlineStr">
        <is>
          <t>Rules applied to every new scenario</t>
        </is>
      </c>
    </row>
    <row r="14">
      <c r="A14" s="2" t="inlineStr">
        <is>
          <t>One change per scenario where possible (style OR camera OR timing) so a failure points at one capability.</t>
        </is>
      </c>
    </row>
    <row r="15">
      <c r="A15" s="2" t="inlineStr">
        <is>
          <t>Licensed, redistributable sources only (CC0, CC BY, CC BY-SA, public domain, official datasets); no famous game IP (recitation and copyright filters would refuse it).</t>
        </is>
      </c>
    </row>
    <row r="16">
      <c r="A16" s="2" t="inlineStr">
        <is>
          <t>No model-generated sources. Source audio removed; clips 10 s or shorter (Omni Flash edit limit); 16:9, 1080p.</t>
        </is>
      </c>
    </row>
    <row r="17">
      <c r="A17" s="2" t="inlineStr">
        <is>
          <t>Face-heavy inputs flagged: Seedance refuses video with identifiable faces, so those get a 1-cell probe first.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0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16" customWidth="1" min="2" max="2"/>
    <col width="14" customWidth="1" min="3" max="3"/>
    <col width="15" customWidth="1" min="4" max="4"/>
    <col width="22" customWidth="1" min="5" max="5"/>
    <col width="20" customWidth="1" min="6" max="6"/>
    <col width="20" customWidth="1" min="7" max="7"/>
    <col width="32" customWidth="1" min="8" max="8"/>
    <col width="42" customWidth="1" min="9" max="9"/>
    <col width="40" customWidth="1" min="10" max="10"/>
    <col width="70" customWidth="1" min="11" max="11"/>
    <col width="70" customWidth="1" min="12" max="12"/>
    <col width="36" customWidth="1" min="13" max="13"/>
    <col width="34" customWidth="1" min="14" max="14"/>
    <col width="40" customWidth="1" min="15" max="15"/>
    <col width="40" customWidth="1" min="16" max="16"/>
    <col width="24" customWidth="1" min="17" max="17"/>
    <col width="30" customWidth="1" min="18" max="18"/>
    <col width="30" customWidth="1" min="19" max="19"/>
    <col width="34" customWidth="1" min="20" max="20"/>
    <col width="20" customWidth="1" min="21" max="21"/>
    <col width="36" customWidth="1" min="22" max="22"/>
    <col width="14" customWidth="1" min="23" max="23"/>
    <col width="16" customWidth="1" min="24" max="24"/>
    <col width="36" customWidth="1" min="25" max="25"/>
  </cols>
  <sheetData>
    <row r="1" ht="32" customHeight="1">
      <c r="A1" s="4" t="inlineStr">
        <is>
          <t>#</t>
        </is>
      </c>
      <c r="B1" s="4" t="inlineStr">
        <is>
          <t>Group</t>
        </is>
      </c>
      <c r="C1" s="4" t="inlineStr">
        <is>
          <t>Scenario ID</t>
        </is>
      </c>
      <c r="D1" s="4" t="inlineStr">
        <is>
          <t>Category</t>
        </is>
      </c>
      <c r="E1" s="4" t="inlineStr">
        <is>
          <t>Use-case family</t>
        </is>
      </c>
      <c r="F1" s="4" t="inlineStr">
        <is>
          <t>Industry (primary)</t>
        </is>
      </c>
      <c r="G1" s="4" t="inlineStr">
        <is>
          <t>Also relevant to</t>
        </is>
      </c>
      <c r="H1" s="4" t="inlineStr">
        <is>
          <t>Scenario title</t>
        </is>
      </c>
      <c r="I1" s="4" t="inlineStr">
        <is>
          <t>Input asset / clip</t>
        </is>
      </c>
      <c r="J1" s="4" t="inlineStr">
        <is>
          <t>Exact transformation / task</t>
        </is>
      </c>
      <c r="K1" s="4" t="inlineStr">
        <is>
          <t>Prompt (verbatim — for review)</t>
        </is>
      </c>
      <c r="L1" s="4" t="inlineStr">
        <is>
          <t>Expected output (adherence checks)</t>
        </is>
      </c>
      <c r="M1" s="4" t="inlineStr">
        <is>
          <t>Capability tested</t>
        </is>
      </c>
      <c r="N1" s="4" t="inlineStr">
        <is>
          <t>Why realistic / publishable</t>
        </is>
      </c>
      <c r="O1" s="4" t="inlineStr">
        <is>
          <t>Why different from existing scenarios</t>
        </is>
      </c>
      <c r="P1" s="4" t="inlineStr">
        <is>
          <t>Source / link</t>
        </is>
      </c>
      <c r="Q1" s="4" t="inlineStr">
        <is>
          <t>Licence</t>
        </is>
      </c>
      <c r="R1" s="4" t="inlineStr">
        <is>
          <t>Source status</t>
        </is>
      </c>
      <c r="S1" s="4" t="inlineStr">
        <is>
          <t>Ground truth (judge only)</t>
        </is>
      </c>
      <c r="T1" s="4" t="inlineStr">
        <is>
          <t>Status / last result</t>
        </is>
      </c>
      <c r="U1" s="4" t="inlineStr">
        <is>
          <t>In next batch?</t>
        </is>
      </c>
      <c r="V1" s="4" t="inlineStr">
        <is>
          <t>Risks &amp; notes</t>
        </is>
      </c>
      <c r="W1" s="4" t="inlineStr">
        <is>
          <t>Est. cost per pair (USD)</t>
        </is>
      </c>
      <c r="X1" s="4" t="inlineStr">
        <is>
          <t>Your decision</t>
        </is>
      </c>
      <c r="Y1" s="4" t="inlineStr">
        <is>
          <t>Your comments</t>
        </is>
      </c>
    </row>
    <row r="2" ht="150" customHeight="1">
      <c r="A2" s="5" t="n">
        <v>1</v>
      </c>
      <c r="B2" s="6" t="inlineStr">
        <is>
          <t>Available — existing bank</t>
        </is>
      </c>
      <c r="C2" s="6" t="inlineStr">
        <is>
          <t>VID-CIN-01</t>
        </is>
      </c>
      <c r="D2" s="6" t="inlineStr">
        <is>
          <t>Text-to-Video</t>
        </is>
      </c>
      <c r="E2" s="6" t="inlineStr">
        <is>
          <t>Cinematic / hero shot</t>
        </is>
      </c>
      <c r="F2" s="6" t="inlineStr">
        <is>
          <t>Micro-drama &amp; entertainment</t>
        </is>
      </c>
      <c r="G2" s="6" t="inlineStr">
        <is>
          <t>Ads, Gaming</t>
        </is>
      </c>
      <c r="H2" s="6" t="inlineStr">
        <is>
          <t>Slow dolly-in</t>
        </is>
      </c>
      <c r="I2" s="6" t="inlineStr">
        <is>
          <t>none</t>
        </is>
      </c>
      <c r="J2" s="6" t="inlineStr">
        <is>
          <t>Camera move accuracy and temporal stability</t>
        </is>
      </c>
      <c r="K2" s="6" t="inlineStr">
        <is>
          <t>A slow dolly-in on a woman reading at a wooden table by a window. Soft daylight. The camera moves steadily forward for the full duration. No cuts.</t>
        </is>
      </c>
      <c r="L2" s="6" t="inlineStr">
        <is>
          <t>1) Camera moves forward, not zoom  2) Movement steady, no stutter  3) Single continuous take  4) Subject stays framed</t>
        </is>
      </c>
      <c r="M2" s="6" t="inlineStr">
        <is>
          <t>Camera move accuracy and temporal stability</t>
        </is>
      </c>
      <c r="P2" s="6" t="inlineStr">
        <is>
          <t>—</t>
        </is>
      </c>
      <c r="Q2" s="6" t="inlineStr">
        <is>
          <t>No asset needed</t>
        </is>
      </c>
      <c r="R2" s="6" t="inlineStr">
        <is>
          <t>In the bank</t>
        </is>
      </c>
      <c r="S2" s="6" t="inlineStr">
        <is>
          <t>—</t>
        </is>
      </c>
      <c r="T2" s="6" t="inlineStr">
        <is>
          <t>Pilot run 2026-09-03 (720p) · statistical tie overall; scoped out 2026-09-04</t>
        </is>
      </c>
      <c r="U2" s="6" t="inlineStr">
        <is>
          <t>No — out of scope</t>
        </is>
      </c>
      <c r="V2" s="6" t="inlineStr"/>
      <c r="X2" s="7" t="n"/>
      <c r="Y2" s="7" t="n"/>
    </row>
    <row r="3" ht="150" customHeight="1">
      <c r="A3" s="5" t="n">
        <v>2</v>
      </c>
      <c r="B3" s="6" t="inlineStr">
        <is>
          <t>Available — existing bank</t>
        </is>
      </c>
      <c r="C3" s="6" t="inlineStr">
        <is>
          <t>VID-CIN-02</t>
        </is>
      </c>
      <c r="D3" s="6" t="inlineStr">
        <is>
          <t>Text-to-Video</t>
        </is>
      </c>
      <c r="E3" s="6" t="inlineStr">
        <is>
          <t>Cinematic / hero shot</t>
        </is>
      </c>
      <c r="F3" s="6" t="inlineStr">
        <is>
          <t>Micro-drama &amp; entertainment</t>
        </is>
      </c>
      <c r="G3" s="6" t="inlineStr">
        <is>
          <t>Ads, Gaming</t>
        </is>
      </c>
      <c r="H3" s="6" t="inlineStr">
        <is>
          <t>Golden hour consistency</t>
        </is>
      </c>
      <c r="I3" s="6" t="inlineStr">
        <is>
          <t>none</t>
        </is>
      </c>
      <c r="J3" s="6" t="inlineStr">
        <is>
          <t>Lighting stability over time</t>
        </is>
      </c>
      <c r="K3" s="6" t="inlineStr">
        <is>
          <t>A man walking along a coastal path at golden hour. Warm low sun from behind. The light direction and colour must stay consistent for the whole shot.</t>
        </is>
      </c>
      <c r="L3" s="6" t="inlineStr">
        <is>
          <t>1) Warm low-angle light  2) Light direction constant  3) Colour temperature stable  4) Subject motion continuous</t>
        </is>
      </c>
      <c r="M3" s="6" t="inlineStr">
        <is>
          <t>Lighting stability over time</t>
        </is>
      </c>
      <c r="P3" s="6" t="inlineStr">
        <is>
          <t>—</t>
        </is>
      </c>
      <c r="Q3" s="6" t="inlineStr">
        <is>
          <t>No asset needed</t>
        </is>
      </c>
      <c r="R3" s="6" t="inlineStr">
        <is>
          <t>In the bank</t>
        </is>
      </c>
      <c r="S3" s="6" t="inlineStr">
        <is>
          <t>—</t>
        </is>
      </c>
      <c r="T3" s="6" t="inlineStr">
        <is>
          <t>Pilot run 2026-09-03 (720p) · statistical tie overall; scoped out 2026-09-04</t>
        </is>
      </c>
      <c r="U3" s="6" t="inlineStr">
        <is>
          <t>No — out of scope</t>
        </is>
      </c>
      <c r="V3" s="6" t="inlineStr"/>
      <c r="X3" s="7" t="n"/>
      <c r="Y3" s="7" t="n"/>
    </row>
    <row r="4" ht="150" customHeight="1">
      <c r="A4" s="5" t="n">
        <v>3</v>
      </c>
      <c r="B4" s="6" t="inlineStr">
        <is>
          <t>Available — existing bank</t>
        </is>
      </c>
      <c r="C4" s="6" t="inlineStr">
        <is>
          <t>VID-CIN-03</t>
        </is>
      </c>
      <c r="D4" s="6" t="inlineStr">
        <is>
          <t>Text-to-Video</t>
        </is>
      </c>
      <c r="E4" s="6" t="inlineStr">
        <is>
          <t>Cinematic / hero shot</t>
        </is>
      </c>
      <c r="F4" s="6" t="inlineStr">
        <is>
          <t>Micro-drama &amp; entertainment</t>
        </is>
      </c>
      <c r="G4" s="6" t="inlineStr">
        <is>
          <t>Ads, Gaming</t>
        </is>
      </c>
      <c r="H4" s="6" t="inlineStr">
        <is>
          <t>Handheld documentary</t>
        </is>
      </c>
      <c r="I4" s="6" t="inlineStr">
        <is>
          <t>none</t>
        </is>
      </c>
      <c r="J4" s="6" t="inlineStr">
        <is>
          <t>Deliberate instability without artefacts</t>
        </is>
      </c>
      <c r="K4" s="6" t="inlineStr">
        <is>
          <t>Handheld documentary-style shot following a chef through a busy kitchen. Natural camera shake. Subject stays in frame throughout.</t>
        </is>
      </c>
      <c r="L4" s="6" t="inlineStr">
        <is>
          <t>1) Handheld character present  2) Subject remains in frame  3) Shake reads as camera, not as artefact  4) No frame tearing or warping</t>
        </is>
      </c>
      <c r="M4" s="6" t="inlineStr">
        <is>
          <t>Deliberate instability without artefacts</t>
        </is>
      </c>
      <c r="P4" s="6" t="inlineStr">
        <is>
          <t>—</t>
        </is>
      </c>
      <c r="Q4" s="6" t="inlineStr">
        <is>
          <t>No asset needed</t>
        </is>
      </c>
      <c r="R4" s="6" t="inlineStr">
        <is>
          <t>In the bank</t>
        </is>
      </c>
      <c r="S4" s="6" t="inlineStr">
        <is>
          <t>—</t>
        </is>
      </c>
      <c r="T4" s="6" t="inlineStr">
        <is>
          <t>Pilot run 2026-09-03 (720p) · statistical tie overall; scoped out 2026-09-04</t>
        </is>
      </c>
      <c r="U4" s="6" t="inlineStr">
        <is>
          <t>No — out of scope</t>
        </is>
      </c>
      <c r="V4" s="6" t="inlineStr"/>
      <c r="X4" s="7" t="n"/>
      <c r="Y4" s="7" t="n"/>
    </row>
    <row r="5" ht="150" customHeight="1">
      <c r="A5" s="5" t="n">
        <v>4</v>
      </c>
      <c r="B5" s="6" t="inlineStr">
        <is>
          <t>Available — existing bank</t>
        </is>
      </c>
      <c r="C5" s="6" t="inlineStr">
        <is>
          <t>VID-CIN-04</t>
        </is>
      </c>
      <c r="D5" s="6" t="inlineStr">
        <is>
          <t>Text-to-Video</t>
        </is>
      </c>
      <c r="E5" s="6" t="inlineStr">
        <is>
          <t>Cinematic / hero shot</t>
        </is>
      </c>
      <c r="F5" s="6" t="inlineStr">
        <is>
          <t>Micro-drama &amp; entertainment</t>
        </is>
      </c>
      <c r="G5" s="6" t="inlineStr">
        <is>
          <t>Ads, Gaming</t>
        </is>
      </c>
      <c r="H5" s="6" t="inlineStr">
        <is>
          <t>Rack focus</t>
        </is>
      </c>
      <c r="I5" s="6" t="inlineStr">
        <is>
          <t>none</t>
        </is>
      </c>
      <c r="J5" s="6" t="inlineStr">
        <is>
          <t>Depth control across the shot</t>
        </is>
      </c>
      <c r="K5" s="6" t="inlineStr">
        <is>
          <t>A static shot of a coffee cup in the foreground and a person in the background. Focus starts on the cup and shifts to the person halfway through.</t>
        </is>
      </c>
      <c r="L5" s="6" t="inlineStr">
        <is>
          <t>1) Focus starts on foreground  2) Shifts to background  3) Transition is gradual  4) Camera itself stays static</t>
        </is>
      </c>
      <c r="M5" s="6" t="inlineStr">
        <is>
          <t>Depth control across the shot</t>
        </is>
      </c>
      <c r="P5" s="6" t="inlineStr">
        <is>
          <t>—</t>
        </is>
      </c>
      <c r="Q5" s="6" t="inlineStr">
        <is>
          <t>No asset needed</t>
        </is>
      </c>
      <c r="R5" s="6" t="inlineStr">
        <is>
          <t>In the bank</t>
        </is>
      </c>
      <c r="S5" s="6" t="inlineStr">
        <is>
          <t>—</t>
        </is>
      </c>
      <c r="T5" s="6" t="inlineStr">
        <is>
          <t>Pilot run 2026-09-03 (720p) · statistical tie overall; scoped out 2026-09-04</t>
        </is>
      </c>
      <c r="U5" s="6" t="inlineStr">
        <is>
          <t>No — out of scope</t>
        </is>
      </c>
      <c r="V5" s="6" t="inlineStr"/>
      <c r="X5" s="7" t="n"/>
      <c r="Y5" s="7" t="n"/>
    </row>
    <row r="6" ht="150" customHeight="1">
      <c r="A6" s="5" t="n">
        <v>5</v>
      </c>
      <c r="B6" s="6" t="inlineStr">
        <is>
          <t>Available — existing bank</t>
        </is>
      </c>
      <c r="C6" s="6" t="inlineStr">
        <is>
          <t>VID-CIN-05</t>
        </is>
      </c>
      <c r="D6" s="6" t="inlineStr">
        <is>
          <t>Text-to-Video</t>
        </is>
      </c>
      <c r="E6" s="6" t="inlineStr">
        <is>
          <t>Cinematic / hero shot</t>
        </is>
      </c>
      <c r="F6" s="6" t="inlineStr">
        <is>
          <t>Micro-drama &amp; entertainment</t>
        </is>
      </c>
      <c r="G6" s="6" t="inlineStr">
        <is>
          <t>Ads, Gaming</t>
        </is>
      </c>
      <c r="H6" s="6" t="inlineStr">
        <is>
          <t>Crane reveal</t>
        </is>
      </c>
      <c r="I6" s="6" t="inlineStr">
        <is>
          <t>none</t>
        </is>
      </c>
      <c r="J6" s="6" t="inlineStr">
        <is>
          <t>Vertical camera move</t>
        </is>
      </c>
      <c r="K6" s="6" t="inlineStr">
        <is>
          <t>A rising crane shot starting on a stone path and lifting to reveal a valley of terraced fields. Smooth continuous rise.</t>
        </is>
      </c>
      <c r="L6" s="6" t="inlineStr">
        <is>
          <t>1) Camera rises vertically  2) Reveal occurs  3) Motion smooth throughout  4) No cuts</t>
        </is>
      </c>
      <c r="M6" s="6" t="inlineStr">
        <is>
          <t>Vertical camera move</t>
        </is>
      </c>
      <c r="P6" s="6" t="inlineStr">
        <is>
          <t>—</t>
        </is>
      </c>
      <c r="Q6" s="6" t="inlineStr">
        <is>
          <t>No asset needed</t>
        </is>
      </c>
      <c r="R6" s="6" t="inlineStr">
        <is>
          <t>In the bank</t>
        </is>
      </c>
      <c r="S6" s="6" t="inlineStr">
        <is>
          <t>—</t>
        </is>
      </c>
      <c r="T6" s="6" t="inlineStr">
        <is>
          <t>Never run · text-to-video, out of the edits + image-to-video scope</t>
        </is>
      </c>
      <c r="U6" s="6" t="inlineStr">
        <is>
          <t>No — out of scope</t>
        </is>
      </c>
      <c r="V6" s="6" t="inlineStr"/>
      <c r="X6" s="7" t="n"/>
      <c r="Y6" s="7" t="n"/>
    </row>
    <row r="7" ht="150" customHeight="1">
      <c r="A7" s="5" t="n">
        <v>6</v>
      </c>
      <c r="B7" s="6" t="inlineStr">
        <is>
          <t>Available — existing bank</t>
        </is>
      </c>
      <c r="C7" s="6" t="inlineStr">
        <is>
          <t>VID-CIN-06</t>
        </is>
      </c>
      <c r="D7" s="6" t="inlineStr">
        <is>
          <t>Text-to-Video</t>
        </is>
      </c>
      <c r="E7" s="6" t="inlineStr">
        <is>
          <t>Cinematic / hero shot</t>
        </is>
      </c>
      <c r="F7" s="6" t="inlineStr">
        <is>
          <t>Micro-drama &amp; entertainment</t>
        </is>
      </c>
      <c r="G7" s="6" t="inlineStr">
        <is>
          <t>Ads, Gaming</t>
        </is>
      </c>
      <c r="H7" s="6" t="inlineStr">
        <is>
          <t>Low-light interior</t>
        </is>
      </c>
      <c r="I7" s="6" t="inlineStr">
        <is>
          <t>none</t>
        </is>
      </c>
      <c r="J7" s="6" t="inlineStr">
        <is>
          <t>Noise and detail under difficult exposure</t>
        </is>
      </c>
      <c r="K7" s="6" t="inlineStr">
        <is>
          <t>A dimly lit study at night, lit only by a desk lamp. A person turns a page. Warm pooled light, deep shadows, no visible noise.</t>
        </is>
      </c>
      <c r="L7" s="6" t="inlineStr">
        <is>
          <t>1) Low-key lighting with visible falloff  2) Practical lamp is the light source  3) Page turn occurs  4) Shadow detail retained without noise</t>
        </is>
      </c>
      <c r="M7" s="6" t="inlineStr">
        <is>
          <t>Noise and detail under difficult exposure</t>
        </is>
      </c>
      <c r="P7" s="6" t="inlineStr">
        <is>
          <t>—</t>
        </is>
      </c>
      <c r="Q7" s="6" t="inlineStr">
        <is>
          <t>No asset needed</t>
        </is>
      </c>
      <c r="R7" s="6" t="inlineStr">
        <is>
          <t>In the bank</t>
        </is>
      </c>
      <c r="S7" s="6" t="inlineStr">
        <is>
          <t>—</t>
        </is>
      </c>
      <c r="T7" s="6" t="inlineStr">
        <is>
          <t>Never run · text-to-video, out of the edits + image-to-video scope</t>
        </is>
      </c>
      <c r="U7" s="6" t="inlineStr">
        <is>
          <t>No — out of scope</t>
        </is>
      </c>
      <c r="V7" s="6" t="inlineStr"/>
      <c r="X7" s="7" t="n"/>
      <c r="Y7" s="7" t="n"/>
    </row>
    <row r="8" ht="150" customHeight="1">
      <c r="A8" s="5" t="n">
        <v>7</v>
      </c>
      <c r="B8" s="6" t="inlineStr">
        <is>
          <t>Available — existing bank</t>
        </is>
      </c>
      <c r="C8" s="6" t="inlineStr">
        <is>
          <t>VID-CIN-07</t>
        </is>
      </c>
      <c r="D8" s="6" t="inlineStr">
        <is>
          <t>Text-to-Video</t>
        </is>
      </c>
      <c r="E8" s="6" t="inlineStr">
        <is>
          <t>Cinematic / hero shot</t>
        </is>
      </c>
      <c r="F8" s="6" t="inlineStr">
        <is>
          <t>Micro-drama &amp; entertainment</t>
        </is>
      </c>
      <c r="G8" s="6" t="inlineStr">
        <is>
          <t>Ads, Gaming</t>
        </is>
      </c>
      <c r="H8" s="6" t="inlineStr">
        <is>
          <t>Weather atmosphere</t>
        </is>
      </c>
      <c r="I8" s="6" t="inlineStr">
        <is>
          <t>none</t>
        </is>
      </c>
      <c r="J8" s="6" t="inlineStr">
        <is>
          <t>Particle consistency over time</t>
        </is>
      </c>
      <c r="K8" s="6" t="inlineStr">
        <is>
          <t>A street at night in steady rain. Rain falls continuously and consistently for the whole shot. Wet reflections on the road.</t>
        </is>
      </c>
      <c r="L8" s="6" t="inlineStr">
        <is>
          <t>1) Rain present throughout  2) Rain direction and density consistent  3) Reflections on wet surfaces  4) No rain popping in or out</t>
        </is>
      </c>
      <c r="M8" s="6" t="inlineStr">
        <is>
          <t>Particle consistency over time</t>
        </is>
      </c>
      <c r="P8" s="6" t="inlineStr">
        <is>
          <t>—</t>
        </is>
      </c>
      <c r="Q8" s="6" t="inlineStr">
        <is>
          <t>No asset needed</t>
        </is>
      </c>
      <c r="R8" s="6" t="inlineStr">
        <is>
          <t>In the bank</t>
        </is>
      </c>
      <c r="S8" s="6" t="inlineStr">
        <is>
          <t>—</t>
        </is>
      </c>
      <c r="T8" s="6" t="inlineStr">
        <is>
          <t>Never run · text-to-video, out of the edits + image-to-video scope</t>
        </is>
      </c>
      <c r="U8" s="6" t="inlineStr">
        <is>
          <t>No — out of scope</t>
        </is>
      </c>
      <c r="V8" s="6" t="inlineStr"/>
      <c r="X8" s="7" t="n"/>
      <c r="Y8" s="7" t="n"/>
    </row>
    <row r="9" ht="150" customHeight="1">
      <c r="A9" s="5" t="n">
        <v>8</v>
      </c>
      <c r="B9" s="6" t="inlineStr">
        <is>
          <t>Available — existing bank</t>
        </is>
      </c>
      <c r="C9" s="6" t="inlineStr">
        <is>
          <t>VID-CIN-08</t>
        </is>
      </c>
      <c r="D9" s="6" t="inlineStr">
        <is>
          <t>Text-to-Video</t>
        </is>
      </c>
      <c r="E9" s="6" t="inlineStr">
        <is>
          <t>Cinematic / hero shot</t>
        </is>
      </c>
      <c r="F9" s="6" t="inlineStr">
        <is>
          <t>Micro-drama &amp; entertainment</t>
        </is>
      </c>
      <c r="G9" s="6" t="inlineStr">
        <is>
          <t>Ads, Gaming</t>
        </is>
      </c>
      <c r="H9" s="6" t="inlineStr">
        <is>
          <t>Slow motion physical action</t>
        </is>
      </c>
      <c r="I9" s="6" t="inlineStr">
        <is>
          <t>none</t>
        </is>
      </c>
      <c r="J9" s="6" t="inlineStr">
        <is>
          <t>Motion plausibility at reduced speed</t>
        </is>
      </c>
      <c r="K9" s="6" t="inlineStr">
        <is>
          <t>Slow motion of a ripe tomato dropping onto a wooden board and splitting. Realistic weight and deformation.</t>
        </is>
      </c>
      <c r="L9" s="6" t="inlineStr">
        <is>
          <t>1) Fall reads as slow motion  2) Acceleration consistent with gravity  3) Impact deformation plausible  4) Debris behaves physically</t>
        </is>
      </c>
      <c r="M9" s="6" t="inlineStr">
        <is>
          <t>Motion plausibility at reduced speed</t>
        </is>
      </c>
      <c r="P9" s="6" t="inlineStr">
        <is>
          <t>—</t>
        </is>
      </c>
      <c r="Q9" s="6" t="inlineStr">
        <is>
          <t>No asset needed</t>
        </is>
      </c>
      <c r="R9" s="6" t="inlineStr">
        <is>
          <t>In the bank</t>
        </is>
      </c>
      <c r="S9" s="6" t="inlineStr">
        <is>
          <t>—</t>
        </is>
      </c>
      <c r="T9" s="6" t="inlineStr">
        <is>
          <t>Never run · text-to-video, out of the edits + image-to-video scope</t>
        </is>
      </c>
      <c r="U9" s="6" t="inlineStr">
        <is>
          <t>No — out of scope</t>
        </is>
      </c>
      <c r="V9" s="6" t="inlineStr"/>
      <c r="X9" s="7" t="n"/>
      <c r="Y9" s="7" t="n"/>
    </row>
    <row r="10" ht="150" customHeight="1">
      <c r="A10" s="5" t="n">
        <v>9</v>
      </c>
      <c r="B10" s="6" t="inlineStr">
        <is>
          <t>Available — existing bank</t>
        </is>
      </c>
      <c r="C10" s="6" t="inlineStr">
        <is>
          <t>VID-CIN-09</t>
        </is>
      </c>
      <c r="D10" s="6" t="inlineStr">
        <is>
          <t>Text-to-Video</t>
        </is>
      </c>
      <c r="E10" s="6" t="inlineStr">
        <is>
          <t>Cinematic / hero shot</t>
        </is>
      </c>
      <c r="F10" s="6" t="inlineStr">
        <is>
          <t>Micro-drama &amp; entertainment</t>
        </is>
      </c>
      <c r="G10" s="6" t="inlineStr">
        <is>
          <t>Ads, Gaming</t>
        </is>
      </c>
      <c r="H10" s="6" t="inlineStr">
        <is>
          <t>Continuous ten-second take</t>
        </is>
      </c>
      <c r="I10" s="6" t="inlineStr">
        <is>
          <t>none</t>
        </is>
      </c>
      <c r="J10" s="6" t="inlineStr">
        <is>
          <t>Long-duration coherence</t>
        </is>
      </c>
      <c r="K10" s="6" t="inlineStr">
        <is>
          <t>A single continuous ten-second shot following a cyclist along a tree-lined road. No cuts, no jumps, consistent lighting and subject.</t>
        </is>
      </c>
      <c r="L10" s="6" t="inlineStr">
        <is>
          <t>1) Full duration, single take  2) Cyclist identity consistent  3) Lighting consistent  4) No geometry warping</t>
        </is>
      </c>
      <c r="M10" s="6" t="inlineStr">
        <is>
          <t>Long-duration coherence</t>
        </is>
      </c>
      <c r="P10" s="6" t="inlineStr">
        <is>
          <t>—</t>
        </is>
      </c>
      <c r="Q10" s="6" t="inlineStr">
        <is>
          <t>No asset needed</t>
        </is>
      </c>
      <c r="R10" s="6" t="inlineStr">
        <is>
          <t>In the bank</t>
        </is>
      </c>
      <c r="S10" s="6" t="inlineStr">
        <is>
          <t>—</t>
        </is>
      </c>
      <c r="T10" s="6" t="inlineStr">
        <is>
          <t>Never run · text-to-video, out of the edits + image-to-video scope</t>
        </is>
      </c>
      <c r="U10" s="6" t="inlineStr">
        <is>
          <t>No — out of scope</t>
        </is>
      </c>
      <c r="V10" s="6" t="inlineStr"/>
      <c r="X10" s="7" t="n"/>
      <c r="Y10" s="7" t="n"/>
    </row>
    <row r="11" ht="150" customHeight="1">
      <c r="A11" s="5" t="n">
        <v>10</v>
      </c>
      <c r="B11" s="6" t="inlineStr">
        <is>
          <t>Available — existing bank</t>
        </is>
      </c>
      <c r="C11" s="6" t="inlineStr">
        <is>
          <t>VID-CIN-10</t>
        </is>
      </c>
      <c r="D11" s="6" t="inlineStr">
        <is>
          <t>Text-to-Video</t>
        </is>
      </c>
      <c r="E11" s="6" t="inlineStr">
        <is>
          <t>Cinematic / hero shot</t>
        </is>
      </c>
      <c r="F11" s="6" t="inlineStr">
        <is>
          <t>Micro-drama &amp; entertainment</t>
        </is>
      </c>
      <c r="G11" s="6" t="inlineStr">
        <is>
          <t>Ads, Gaming</t>
        </is>
      </c>
      <c r="H11" s="6" t="inlineStr">
        <is>
          <t>Match a supplied look reference</t>
        </is>
      </c>
      <c r="I11" s="6" t="inlineStr">
        <is>
          <t>Reference still image</t>
        </is>
      </c>
      <c r="J11" s="6" t="inlineStr">
        <is>
          <t>Aesthetic transfer to motion</t>
        </is>
      </c>
      <c r="K11" s="6" t="inlineStr">
        <is>
          <t>Generate an eight-second shot of a harbour at dawn matching the colour grade, contrast and mood of the supplied still.</t>
        </is>
      </c>
      <c r="L11" s="6" t="inlineStr">
        <is>
          <t>1) Colour grade matches reference  2) Contrast character matches  3) Subject matter as briefed  4) Consistent grade across all frames</t>
        </is>
      </c>
      <c r="M11" s="6" t="inlineStr">
        <is>
          <t>Aesthetic transfer to motion</t>
        </is>
      </c>
      <c r="P11" s="6" t="inlineStr">
        <is>
          <t>open</t>
        </is>
      </c>
      <c r="Q11" s="6" t="inlineStr">
        <is>
          <t>Pexels / Unsplash (free commercial)</t>
        </is>
      </c>
      <c r="R11" s="6" t="inlineStr">
        <is>
          <t>In the bank</t>
        </is>
      </c>
      <c r="S11" s="6" t="inlineStr">
        <is>
          <t>—</t>
        </is>
      </c>
      <c r="T11" s="6" t="inlineStr">
        <is>
          <t>Never run · text-to-video, out of the edits + image-to-video scope</t>
        </is>
      </c>
      <c r="U11" s="6" t="inlineStr">
        <is>
          <t>No — out of scope</t>
        </is>
      </c>
      <c r="V11" s="6" t="inlineStr"/>
      <c r="X11" s="7" t="n"/>
      <c r="Y11" s="7" t="n"/>
    </row>
    <row r="12" ht="150" customHeight="1">
      <c r="A12" s="5" t="n">
        <v>11</v>
      </c>
      <c r="B12" s="6" t="inlineStr">
        <is>
          <t>Available — existing bank</t>
        </is>
      </c>
      <c r="C12" s="6" t="inlineStr">
        <is>
          <t>VID-AD-01</t>
        </is>
      </c>
      <c r="D12" s="6" t="inlineStr">
        <is>
          <t>Image-to-Video</t>
        </is>
      </c>
      <c r="E12" s="6" t="inlineStr">
        <is>
          <t>Advertising &amp; product video</t>
        </is>
      </c>
      <c r="F12" s="6" t="inlineStr">
        <is>
          <t>Ads</t>
        </is>
      </c>
      <c r="G12" s="6" t="inlineStr">
        <is>
          <t>Ecommerce &amp; Retail</t>
        </is>
      </c>
      <c r="H12" s="6" t="inlineStr">
        <is>
          <t>Product hero rotation</t>
        </is>
      </c>
      <c r="I12" s="6" t="inlineStr">
        <is>
          <t>Product reference image</t>
        </is>
      </c>
      <c r="J12" s="6" t="inlineStr">
        <is>
          <t>Label legibility through motion</t>
        </is>
      </c>
      <c r="K12" s="6" t="inlineStr">
        <is>
          <t>The supplied product rotates slowly through 360 degrees on a neutral pedestal, studio lit. The label must stay sharp and readable throughout.</t>
        </is>
      </c>
      <c r="L12" s="6" t="inlineStr">
        <is>
          <t>1) Full rotation completed  2) Label legible in every frame where it faces camera  3) Product form unaltered  4) Lighting consistent</t>
        </is>
      </c>
      <c r="M12" s="6" t="inlineStr">
        <is>
          <t>Label legibility through motion</t>
        </is>
      </c>
      <c r="P12" s="6" t="inlineStr">
        <is>
          <t>open</t>
        </is>
      </c>
      <c r="Q12" s="6" t="inlineStr">
        <is>
          <t>Google Scanned Objects (CC BY 4.0)</t>
        </is>
      </c>
      <c r="R12" s="6" t="inlineStr">
        <is>
          <t>In the bank</t>
        </is>
      </c>
      <c r="S12" s="6" t="inlineStr">
        <is>
          <t>—</t>
        </is>
      </c>
      <c r="T12" s="6" t="inlineStr">
        <is>
          <t>Run 2026-09-10 · Omni Flash won (+6.0 pp)</t>
        </is>
      </c>
      <c r="U12" s="6" t="inlineStr">
        <is>
          <t>No — already run / retired</t>
        </is>
      </c>
      <c r="V12" s="6" t="inlineStr"/>
      <c r="X12" s="7" t="n"/>
      <c r="Y12" s="7" t="n"/>
    </row>
    <row r="13" ht="150" customHeight="1">
      <c r="A13" s="5" t="n">
        <v>12</v>
      </c>
      <c r="B13" s="6" t="inlineStr">
        <is>
          <t>Available — existing bank</t>
        </is>
      </c>
      <c r="C13" s="6" t="inlineStr">
        <is>
          <t>VID-AD-02</t>
        </is>
      </c>
      <c r="D13" s="6" t="inlineStr">
        <is>
          <t>Image-to-Video</t>
        </is>
      </c>
      <c r="E13" s="6" t="inlineStr">
        <is>
          <t>Advertising &amp; product video</t>
        </is>
      </c>
      <c r="F13" s="6" t="inlineStr">
        <is>
          <t>Ads</t>
        </is>
      </c>
      <c r="G13" s="6" t="inlineStr">
        <is>
          <t>Ecommerce &amp; Retail</t>
        </is>
      </c>
      <c r="H13" s="6" t="inlineStr">
        <is>
          <t>Product in use</t>
        </is>
      </c>
      <c r="I13" s="6" t="inlineStr">
        <is>
          <t>Product reference</t>
        </is>
      </c>
      <c r="J13" s="6" t="inlineStr">
        <is>
          <t>Hand-object interaction</t>
        </is>
      </c>
      <c r="K13" s="6" t="inlineStr">
        <is>
          <t>A pair of hands picks up the supplied product from a counter and opens it. Natural hand movement, correct grip, product unchanged.</t>
        </is>
      </c>
      <c r="L13" s="6" t="inlineStr">
        <is>
          <t>1) Hands grip the product plausibly  2) Product opens as it would in reality  3) Product form and label unaltered  4) Five fingers per hand throughout</t>
        </is>
      </c>
      <c r="M13" s="6" t="inlineStr">
        <is>
          <t>Hand-object interaction</t>
        </is>
      </c>
      <c r="P13" s="6" t="inlineStr">
        <is>
          <t>open</t>
        </is>
      </c>
      <c r="Q13" s="6" t="inlineStr">
        <is>
          <t>Google Scanned Objects (CC BY 4.0)</t>
        </is>
      </c>
      <c r="R13" s="6" t="inlineStr">
        <is>
          <t>In the bank</t>
        </is>
      </c>
      <c r="S13" s="6" t="inlineStr">
        <is>
          <t>—</t>
        </is>
      </c>
      <c r="T13" s="6" t="inlineStr">
        <is>
          <t>Run 2026-09-10 · Omni Flash won (+12.0 pp)</t>
        </is>
      </c>
      <c r="U13" s="6" t="inlineStr">
        <is>
          <t>No — already run / retired</t>
        </is>
      </c>
      <c r="V13" s="6" t="inlineStr"/>
      <c r="X13" s="7" t="n"/>
      <c r="Y13" s="7" t="n"/>
    </row>
    <row r="14" ht="150" customHeight="1">
      <c r="A14" s="5" t="n">
        <v>13</v>
      </c>
      <c r="B14" s="6" t="inlineStr">
        <is>
          <t>Available — existing bank</t>
        </is>
      </c>
      <c r="C14" s="6" t="inlineStr">
        <is>
          <t>VID-AD-03</t>
        </is>
      </c>
      <c r="D14" s="6" t="inlineStr">
        <is>
          <t>Image-to-Video</t>
        </is>
      </c>
      <c r="E14" s="6" t="inlineStr">
        <is>
          <t>Advertising &amp; product video</t>
        </is>
      </c>
      <c r="F14" s="6" t="inlineStr">
        <is>
          <t>Ads</t>
        </is>
      </c>
      <c r="G14" s="6" t="inlineStr">
        <is>
          <t>Ecommerce &amp; Retail</t>
        </is>
      </c>
      <c r="H14" s="6" t="inlineStr">
        <is>
          <t>Packshot with supers</t>
        </is>
      </c>
      <c r="I14" s="6" t="inlineStr">
        <is>
          <t>Product reference</t>
        </is>
      </c>
      <c r="J14" s="6" t="inlineStr">
        <is>
          <t>On-screen text stability</t>
        </is>
      </c>
      <c r="K14" s="6" t="inlineStr">
        <is>
          <t>The supplied product on a gradient background. Text appears reading exactly: NEW - 40% MORE. Text stays fixed and legible for four seconds.</t>
        </is>
      </c>
      <c r="L14" s="6" t="inlineStr">
        <is>
          <t>1) Text string exact  2) Text stable, no drift or warp  3) Product unaltered  4) Text legible against background</t>
        </is>
      </c>
      <c r="M14" s="6" t="inlineStr">
        <is>
          <t>On-screen text stability</t>
        </is>
      </c>
      <c r="P14" s="6" t="inlineStr">
        <is>
          <t>open</t>
        </is>
      </c>
      <c r="Q14" s="6" t="inlineStr">
        <is>
          <t>Google Scanned Objects (CC BY 4.0)</t>
        </is>
      </c>
      <c r="R14" s="6" t="inlineStr">
        <is>
          <t>In the bank</t>
        </is>
      </c>
      <c r="S14" s="6" t="inlineStr">
        <is>
          <t>—</t>
        </is>
      </c>
      <c r="T14" s="6" t="inlineStr">
        <is>
          <t>Run 2026-09-10 · Seedance 2.5 won (+15.5 pp)</t>
        </is>
      </c>
      <c r="U14" s="6" t="inlineStr">
        <is>
          <t>No — already run / retired</t>
        </is>
      </c>
      <c r="V14" s="6" t="inlineStr"/>
      <c r="X14" s="7" t="n"/>
      <c r="Y14" s="7" t="n"/>
    </row>
    <row r="15" ht="150" customHeight="1">
      <c r="A15" s="5" t="n">
        <v>14</v>
      </c>
      <c r="B15" s="6" t="inlineStr">
        <is>
          <t>Available — existing bank</t>
        </is>
      </c>
      <c r="C15" s="6" t="inlineStr">
        <is>
          <t>VID-AD-04</t>
        </is>
      </c>
      <c r="D15" s="6" t="inlineStr">
        <is>
          <t>Image-to-Video</t>
        </is>
      </c>
      <c r="E15" s="6" t="inlineStr">
        <is>
          <t>Advertising &amp; product video</t>
        </is>
      </c>
      <c r="F15" s="6" t="inlineStr">
        <is>
          <t>Ads</t>
        </is>
      </c>
      <c r="G15" s="6" t="inlineStr">
        <is>
          <t>Ecommerce &amp; Retail</t>
        </is>
      </c>
      <c r="H15" s="6" t="inlineStr">
        <is>
          <t>Before and after transition</t>
        </is>
      </c>
      <c r="I15" s="6" t="inlineStr">
        <is>
          <t>Product reference</t>
        </is>
      </c>
      <c r="J15" s="6" t="inlineStr">
        <is>
          <t>Controlled two-state change</t>
        </is>
      </c>
      <c r="K15" s="6" t="inlineStr">
        <is>
          <t>A dull kitchen worktop transitions to a clean one across the shot, with the supplied cleaning product visible throughout. Smooth transition, product unchanged.</t>
        </is>
      </c>
      <c r="L15" s="6" t="inlineStr">
        <is>
          <t>1) Clear before and after states  2) Transition is gradual  3) Product visible and unaltered throughout  4) Worktop geometry unchanged</t>
        </is>
      </c>
      <c r="M15" s="6" t="inlineStr">
        <is>
          <t>Controlled two-state change</t>
        </is>
      </c>
      <c r="P15" s="6" t="inlineStr">
        <is>
          <t>open</t>
        </is>
      </c>
      <c r="Q15" s="6" t="inlineStr">
        <is>
          <t>Google Scanned Objects (CC BY 4.0)</t>
        </is>
      </c>
      <c r="R15" s="6" t="inlineStr">
        <is>
          <t>In the bank</t>
        </is>
      </c>
      <c r="S15" s="6" t="inlineStr">
        <is>
          <t>—</t>
        </is>
      </c>
      <c r="T15" s="6" t="inlineStr">
        <is>
          <t>Run 2026-09-10 · tie (+4.0 pp)</t>
        </is>
      </c>
      <c r="U15" s="6" t="inlineStr">
        <is>
          <t>No — already run / retired</t>
        </is>
      </c>
      <c r="V15" s="6" t="inlineStr"/>
      <c r="X15" s="7" t="n"/>
      <c r="Y15" s="7" t="n"/>
    </row>
    <row r="16" ht="150" customHeight="1">
      <c r="A16" s="5" t="n">
        <v>15</v>
      </c>
      <c r="B16" s="6" t="inlineStr">
        <is>
          <t>Available — existing bank</t>
        </is>
      </c>
      <c r="C16" s="6" t="inlineStr">
        <is>
          <t>VID-AD-05</t>
        </is>
      </c>
      <c r="D16" s="6" t="inlineStr">
        <is>
          <t>Image-to-Video</t>
        </is>
      </c>
      <c r="E16" s="6" t="inlineStr">
        <is>
          <t>Advertising &amp; product video</t>
        </is>
      </c>
      <c r="F16" s="6" t="inlineStr">
        <is>
          <t>Ads</t>
        </is>
      </c>
      <c r="G16" s="6" t="inlineStr">
        <is>
          <t>Ecommerce &amp; Retail</t>
        </is>
      </c>
      <c r="H16" s="6" t="inlineStr">
        <is>
          <t>Logo sting</t>
        </is>
      </c>
      <c r="I16" s="6" t="inlineStr">
        <is>
          <t>Logo file</t>
        </is>
      </c>
      <c r="J16" s="6" t="inlineStr">
        <is>
          <t>Mark accuracy in motion</t>
        </is>
      </c>
      <c r="K16" s="6" t="inlineStr">
        <is>
          <t>The supplied logo animates into frame from a fade and settles centred for the final two seconds. Mark proportions and colours exactly as supplied.</t>
        </is>
      </c>
      <c r="L16" s="6" t="inlineStr">
        <is>
          <t>1) Logo settles centred  2) Proportions preserved  3) Colours match supplied file  4) Holds still for the final two seconds</t>
        </is>
      </c>
      <c r="M16" s="6" t="inlineStr">
        <is>
          <t>Mark accuracy in motion</t>
        </is>
      </c>
      <c r="P16" s="6" t="inlineStr">
        <is>
          <t>—</t>
        </is>
      </c>
      <c r="Q16" s="6" t="inlineStr">
        <is>
          <t>Internal brand kit — build once</t>
        </is>
      </c>
      <c r="R16" s="6" t="inlineStr">
        <is>
          <t>In the bank</t>
        </is>
      </c>
      <c r="S16" s="6" t="inlineStr">
        <is>
          <t>—</t>
        </is>
      </c>
      <c r="T16" s="6" t="inlineStr">
        <is>
          <t>Run 2026-09-10 · not compared (Seedance blocked its own audio)</t>
        </is>
      </c>
      <c r="U16" s="6" t="inlineStr">
        <is>
          <t>No — already run / retired</t>
        </is>
      </c>
      <c r="V16" s="6" t="inlineStr"/>
      <c r="X16" s="7" t="n"/>
      <c r="Y16" s="7" t="n"/>
    </row>
    <row r="17" ht="150" customHeight="1">
      <c r="A17" s="5" t="n">
        <v>16</v>
      </c>
      <c r="B17" s="6" t="inlineStr">
        <is>
          <t>Available — existing bank</t>
        </is>
      </c>
      <c r="C17" s="6" t="inlineStr">
        <is>
          <t>VID-AD-06</t>
        </is>
      </c>
      <c r="D17" s="6" t="inlineStr">
        <is>
          <t>Image-to-Video</t>
        </is>
      </c>
      <c r="E17" s="6" t="inlineStr">
        <is>
          <t>Advertising &amp; product video</t>
        </is>
      </c>
      <c r="F17" s="6" t="inlineStr">
        <is>
          <t>Ads</t>
        </is>
      </c>
      <c r="G17" s="6" t="inlineStr">
        <is>
          <t>Ecommerce &amp; Retail</t>
        </is>
      </c>
      <c r="H17" s="6" t="inlineStr">
        <is>
          <t>Vertical variant</t>
        </is>
      </c>
      <c r="I17" s="6" t="inlineStr">
        <is>
          <t>Product reference; the 16:9 brief</t>
        </is>
      </c>
      <c r="J17" s="6" t="inlineStr">
        <is>
          <t>Reframing without loss</t>
        </is>
      </c>
      <c r="K17" s="6" t="inlineStr">
        <is>
          <t>Produce this same product concept in 9:16 vertical. The product must remain fully in frame and the text must remain fully legible.</t>
        </is>
      </c>
      <c r="L17" s="6" t="inlineStr">
        <is>
          <t>1) 9:16 output  2) Product fully in frame  3) Text not cropped  4) Composition adapted rather than centre-cropped</t>
        </is>
      </c>
      <c r="M17" s="6" t="inlineStr">
        <is>
          <t>Reframing without loss</t>
        </is>
      </c>
      <c r="P17" s="6" t="inlineStr">
        <is>
          <t>open</t>
        </is>
      </c>
      <c r="Q17" s="6" t="inlineStr">
        <is>
          <t>Google Scanned Objects (CC BY 4.0)</t>
        </is>
      </c>
      <c r="R17" s="6" t="inlineStr">
        <is>
          <t>In the bank</t>
        </is>
      </c>
      <c r="S17" s="6" t="inlineStr">
        <is>
          <t>—</t>
        </is>
      </c>
      <c r="T17" s="6" t="inlineStr">
        <is>
          <t>Run 2026-09-10 · Seedance 2.5 won (+9.3 pp)</t>
        </is>
      </c>
      <c r="U17" s="6" t="inlineStr">
        <is>
          <t>No — already run / retired</t>
        </is>
      </c>
      <c r="V17" s="6" t="inlineStr"/>
      <c r="X17" s="7" t="n"/>
      <c r="Y17" s="7" t="n"/>
    </row>
    <row r="18" ht="150" customHeight="1">
      <c r="A18" s="5" t="n">
        <v>17</v>
      </c>
      <c r="B18" s="6" t="inlineStr">
        <is>
          <t>Available — existing bank</t>
        </is>
      </c>
      <c r="C18" s="6" t="inlineStr">
        <is>
          <t>VID-AD-07</t>
        </is>
      </c>
      <c r="D18" s="6" t="inlineStr">
        <is>
          <t>Image-to-Video</t>
        </is>
      </c>
      <c r="E18" s="6" t="inlineStr">
        <is>
          <t>Advertising &amp; product video</t>
        </is>
      </c>
      <c r="F18" s="6" t="inlineStr">
        <is>
          <t>Ads</t>
        </is>
      </c>
      <c r="G18" s="6" t="inlineStr">
        <is>
          <t>Ecommerce &amp; Retail</t>
        </is>
      </c>
      <c r="H18" s="6" t="inlineStr">
        <is>
          <t>Product against moving background</t>
        </is>
      </c>
      <c r="I18" s="6" t="inlineStr">
        <is>
          <t>Product reference</t>
        </is>
      </c>
      <c r="J18" s="6" t="inlineStr">
        <is>
          <t>Edge quality under motion</t>
        </is>
      </c>
      <c r="K18" s="6" t="inlineStr">
        <is>
          <t>The supplied product remains static and sharp in the centre while a colourful abstract background moves behind it. Clean edges, no fringing.</t>
        </is>
      </c>
      <c r="L18" s="6" t="inlineStr">
        <is>
          <t>1) Product static and sharp  2) Background in motion  3) No edge fringing or halo  4) Product unaltered</t>
        </is>
      </c>
      <c r="M18" s="6" t="inlineStr">
        <is>
          <t>Edge quality under motion</t>
        </is>
      </c>
      <c r="P18" s="6" t="inlineStr">
        <is>
          <t>open</t>
        </is>
      </c>
      <c r="Q18" s="6" t="inlineStr">
        <is>
          <t>Google Scanned Objects (CC BY 4.0)</t>
        </is>
      </c>
      <c r="R18" s="6" t="inlineStr">
        <is>
          <t>In the bank</t>
        </is>
      </c>
      <c r="S18" s="6" t="inlineStr">
        <is>
          <t>—</t>
        </is>
      </c>
      <c r="T18" s="6" t="inlineStr">
        <is>
          <t>Run 2026-09-10 · Seedance 2.5 won (+5.5 pp)</t>
        </is>
      </c>
      <c r="U18" s="6" t="inlineStr">
        <is>
          <t>No — already run / retired</t>
        </is>
      </c>
      <c r="V18" s="6" t="inlineStr"/>
      <c r="X18" s="7" t="n"/>
      <c r="Y18" s="7" t="n"/>
    </row>
    <row r="19" ht="150" customHeight="1">
      <c r="A19" s="5" t="n">
        <v>18</v>
      </c>
      <c r="B19" s="6" t="inlineStr">
        <is>
          <t>Available — existing bank</t>
        </is>
      </c>
      <c r="C19" s="6" t="inlineStr">
        <is>
          <t>VID-AD-08</t>
        </is>
      </c>
      <c r="D19" s="6" t="inlineStr">
        <is>
          <t>Image-to-Video</t>
        </is>
      </c>
      <c r="E19" s="6" t="inlineStr">
        <is>
          <t>Advertising &amp; product video</t>
        </is>
      </c>
      <c r="F19" s="6" t="inlineStr">
        <is>
          <t>Ads</t>
        </is>
      </c>
      <c r="G19" s="6" t="inlineStr">
        <is>
          <t>Ecommerce &amp; Retail</t>
        </is>
      </c>
      <c r="H19" s="6" t="inlineStr">
        <is>
          <t>SKU line-up pan</t>
        </is>
      </c>
      <c r="I19" s="6" t="inlineStr">
        <is>
          <t>Three product references</t>
        </is>
      </c>
      <c r="J19" s="6" t="inlineStr">
        <is>
          <t>Multiple references under camera motion</t>
        </is>
      </c>
      <c r="K19" s="6" t="inlineStr">
        <is>
          <t>A slow lateral pan across the three supplied product variants arranged on a shelf. All three stay accurate and their labels stay readable.</t>
        </is>
      </c>
      <c r="L19" s="6" t="inlineStr">
        <is>
          <t>1) All three products present and correct  2) Smooth lateral pan  3) Labels readable as each passes centre  4) No product morphing during the pan</t>
        </is>
      </c>
      <c r="M19" s="6" t="inlineStr">
        <is>
          <t>Multiple references under camera motion</t>
        </is>
      </c>
      <c r="P19" s="6" t="inlineStr">
        <is>
          <t>open</t>
        </is>
      </c>
      <c r="Q19" s="6" t="inlineStr">
        <is>
          <t>Google Scanned Objects (CC BY 4.0)</t>
        </is>
      </c>
      <c r="R19" s="6" t="inlineStr">
        <is>
          <t>In the bank</t>
        </is>
      </c>
      <c r="S19" s="6" t="inlineStr">
        <is>
          <t>—</t>
        </is>
      </c>
      <c r="T19" s="6" t="inlineStr">
        <is>
          <t>Run 2026-09-10 · not compared (Seedance refused)</t>
        </is>
      </c>
      <c r="U19" s="6" t="inlineStr">
        <is>
          <t>No — already run / retired</t>
        </is>
      </c>
      <c r="V19" s="6" t="inlineStr"/>
      <c r="X19" s="7" t="n"/>
      <c r="Y19" s="7" t="n"/>
    </row>
    <row r="20" ht="150" customHeight="1">
      <c r="A20" s="5" t="n">
        <v>19</v>
      </c>
      <c r="B20" s="6" t="inlineStr">
        <is>
          <t>Available — existing bank</t>
        </is>
      </c>
      <c r="C20" s="6" t="inlineStr">
        <is>
          <t>VID-AD-09</t>
        </is>
      </c>
      <c r="D20" s="6" t="inlineStr">
        <is>
          <t>Text-to-Video</t>
        </is>
      </c>
      <c r="E20" s="6" t="inlineStr">
        <is>
          <t>Advertising &amp; product video</t>
        </is>
      </c>
      <c r="F20" s="6" t="inlineStr">
        <is>
          <t>Ads</t>
        </is>
      </c>
      <c r="G20" s="6" t="inlineStr">
        <is>
          <t>Ecommerce &amp; Retail</t>
        </is>
      </c>
      <c r="H20" s="6" t="inlineStr">
        <is>
          <t>Text stable through camera move</t>
        </is>
      </c>
      <c r="I20" s="6" t="inlineStr">
        <is>
          <t>none</t>
        </is>
      </c>
      <c r="J20" s="6" t="inlineStr">
        <is>
          <t>Typography under motion</t>
        </is>
      </c>
      <c r="K20" s="6" t="inlineStr">
        <is>
          <t>A camera pushes in on a storefront while the sign text reading MORNING FUEL stays perfectly legible and correctly spelled throughout.</t>
        </is>
      </c>
      <c r="L20" s="6" t="inlineStr">
        <is>
          <t>1) Text string exact in every frame  2) No warping during the push  3) Camera push completes  4) Text stays in frame</t>
        </is>
      </c>
      <c r="M20" s="6" t="inlineStr">
        <is>
          <t>Typography under motion</t>
        </is>
      </c>
      <c r="P20" s="6" t="inlineStr">
        <is>
          <t>—</t>
        </is>
      </c>
      <c r="Q20" s="6" t="inlineStr">
        <is>
          <t>No asset needed</t>
        </is>
      </c>
      <c r="R20" s="6" t="inlineStr">
        <is>
          <t>In the bank</t>
        </is>
      </c>
      <c r="S20" s="6" t="inlineStr">
        <is>
          <t>—</t>
        </is>
      </c>
      <c r="T20" s="6" t="inlineStr">
        <is>
          <t>Run 2026-09-10 · tie (+3.0 pp)</t>
        </is>
      </c>
      <c r="U20" s="6" t="inlineStr">
        <is>
          <t>No — already run / retired</t>
        </is>
      </c>
      <c r="V20" s="6" t="inlineStr"/>
      <c r="X20" s="7" t="n"/>
      <c r="Y20" s="7" t="n"/>
    </row>
    <row r="21" ht="150" customHeight="1">
      <c r="A21" s="5" t="n">
        <v>20</v>
      </c>
      <c r="B21" s="6" t="inlineStr">
        <is>
          <t>Available — existing bank</t>
        </is>
      </c>
      <c r="C21" s="6" t="inlineStr">
        <is>
          <t>VID-AD-10</t>
        </is>
      </c>
      <c r="D21" s="6" t="inlineStr">
        <is>
          <t>Image-to-Video</t>
        </is>
      </c>
      <c r="E21" s="6" t="inlineStr">
        <is>
          <t>Advertising &amp; product video</t>
        </is>
      </c>
      <c r="F21" s="6" t="inlineStr">
        <is>
          <t>Ads</t>
        </is>
      </c>
      <c r="G21" s="6" t="inlineStr">
        <is>
          <t>Ecommerce &amp; Retail</t>
        </is>
      </c>
      <c r="H21" s="6" t="inlineStr">
        <is>
          <t>Six-second bumper</t>
        </is>
      </c>
      <c r="I21" s="6" t="inlineStr">
        <is>
          <t>Product and logo references</t>
        </is>
      </c>
      <c r="J21" s="6" t="inlineStr">
        <is>
          <t>Complete message in a hard duration</t>
        </is>
      </c>
      <c r="K21" s="6" t="inlineStr">
        <is>
          <t>A six-second advertisement for a coffee brand: product appears, text reading BREW BETTER appears, logo closes. Exactly six seconds.</t>
        </is>
      </c>
      <c r="L21" s="6" t="inlineStr">
        <is>
          <t>1) Duration exactly six seconds  2) All three beats present in order  3) Text string exact  4) Logo accurate at close</t>
        </is>
      </c>
      <c r="M21" s="6" t="inlineStr">
        <is>
          <t>Complete message in a hard duration</t>
        </is>
      </c>
      <c r="P21" s="6" t="inlineStr">
        <is>
          <t>—</t>
        </is>
      </c>
      <c r="Q21" s="6" t="inlineStr">
        <is>
          <t>Internal brand kit — build once</t>
        </is>
      </c>
      <c r="R21" s="6" t="inlineStr">
        <is>
          <t>In the bank</t>
        </is>
      </c>
      <c r="S21" s="6" t="inlineStr">
        <is>
          <t>—</t>
        </is>
      </c>
      <c r="T21" s="6" t="inlineStr">
        <is>
          <t>Run 2026-09-10 · Seedance 2.5 won (+5.7 pp)</t>
        </is>
      </c>
      <c r="U21" s="6" t="inlineStr">
        <is>
          <t>No — already run / retired</t>
        </is>
      </c>
      <c r="V21" s="6" t="inlineStr"/>
      <c r="X21" s="7" t="n"/>
      <c r="Y21" s="7" t="n"/>
    </row>
    <row r="22" ht="150" customHeight="1">
      <c r="A22" s="5" t="n">
        <v>21</v>
      </c>
      <c r="B22" s="6" t="inlineStr">
        <is>
          <t>Available — existing bank</t>
        </is>
      </c>
      <c r="C22" s="6" t="inlineStr">
        <is>
          <t>VID-AVA-01</t>
        </is>
      </c>
      <c r="D22" s="6" t="inlineStr">
        <is>
          <t>Avatar / Dialogue</t>
        </is>
      </c>
      <c r="E22" s="6" t="inlineStr">
        <is>
          <t>Avatar / presenter / dialogue</t>
        </is>
      </c>
      <c r="F22" s="6" t="inlineStr">
        <is>
          <t>Micro-drama &amp; entertainment</t>
        </is>
      </c>
      <c r="G22" s="6" t="inlineStr">
        <is>
          <t>Ecommerce &amp; Retail, Ads</t>
        </is>
      </c>
      <c r="H22" s="6" t="inlineStr">
        <is>
          <t>Scripted read with lip-sync</t>
        </is>
      </c>
      <c r="I22" s="6" t="inlineStr">
        <is>
          <t>Optional presenter reference</t>
        </is>
      </c>
      <c r="J22" s="6" t="inlineStr">
        <is>
          <t>Audio-visual alignment</t>
        </is>
      </c>
      <c r="K22" s="6" t="inlineStr">
        <is>
          <t>A presenter in a neutral office setting says exactly: Welcome back. Today we are looking at three ways to cut your energy bill. Natural delivery, direct to camera.</t>
        </is>
      </c>
      <c r="L22" s="6" t="inlineStr">
        <is>
          <t>1) Spoken words match the script exactly  2) Lip movement matches audio  3) Direct-to-camera framing  4) Natural delivery</t>
        </is>
      </c>
      <c r="M22" s="6" t="inlineStr">
        <is>
          <t>Audio-visual alignment</t>
        </is>
      </c>
      <c r="P22" s="6" t="inlineStr">
        <is>
          <t>open</t>
        </is>
      </c>
      <c r="Q22" s="6" t="inlineStr">
        <is>
          <t>Synthetic presenter — avoid LRS2/LRS3</t>
        </is>
      </c>
      <c r="R22" s="6" t="inlineStr">
        <is>
          <t>In the bank</t>
        </is>
      </c>
      <c r="S22" s="6" t="inlineStr">
        <is>
          <t>—</t>
        </is>
      </c>
      <c r="T22" s="6" t="inlineStr">
        <is>
          <t>Never run · avatar task not built (needs lip-sync rubric)</t>
        </is>
      </c>
      <c r="U22" s="6" t="inlineStr">
        <is>
          <t>No — task not built</t>
        </is>
      </c>
      <c r="V22" s="6" t="inlineStr"/>
      <c r="X22" s="7" t="n"/>
      <c r="Y22" s="7" t="n"/>
    </row>
    <row r="23" ht="150" customHeight="1">
      <c r="A23" s="5" t="n">
        <v>22</v>
      </c>
      <c r="B23" s="6" t="inlineStr">
        <is>
          <t>Available — existing bank</t>
        </is>
      </c>
      <c r="C23" s="6" t="inlineStr">
        <is>
          <t>VID-AVA-02</t>
        </is>
      </c>
      <c r="D23" s="6" t="inlineStr">
        <is>
          <t>Avatar / Dialogue</t>
        </is>
      </c>
      <c r="E23" s="6" t="inlineStr">
        <is>
          <t>Avatar / presenter / dialogue</t>
        </is>
      </c>
      <c r="F23" s="6" t="inlineStr">
        <is>
          <t>Micro-drama &amp; entertainment</t>
        </is>
      </c>
      <c r="G23" s="6" t="inlineStr">
        <is>
          <t>Ecommerce &amp; Retail, Ads</t>
        </is>
      </c>
      <c r="H23" s="6" t="inlineStr">
        <is>
          <t>Two-person exchange</t>
        </is>
      </c>
      <c r="I23" s="6" t="inlineStr">
        <is>
          <t>Two presenter references</t>
        </is>
      </c>
      <c r="J23" s="6" t="inlineStr">
        <is>
          <t>Turn-taking and dual identity</t>
        </is>
      </c>
      <c r="K23" s="6" t="inlineStr">
        <is>
          <t>Two people at a table exchange these lines. Person A: Did the numbers come in? Person B: Yes, up eleven percent. Natural turn-taking with a brief pause between.</t>
        </is>
      </c>
      <c r="L23" s="6" t="inlineStr">
        <is>
          <t>1) Both lines spoken correctly and in order  2) Correct speaker for each line  3) Natural pause between turns  4) Both identities consistent</t>
        </is>
      </c>
      <c r="M23" s="6" t="inlineStr">
        <is>
          <t>Turn-taking and dual identity</t>
        </is>
      </c>
      <c r="P23" s="6" t="inlineStr">
        <is>
          <t>open</t>
        </is>
      </c>
      <c r="Q23" s="6" t="inlineStr">
        <is>
          <t>Synthetic presenter — avoid LRS2/LRS3</t>
        </is>
      </c>
      <c r="R23" s="6" t="inlineStr">
        <is>
          <t>In the bank</t>
        </is>
      </c>
      <c r="S23" s="6" t="inlineStr">
        <is>
          <t>—</t>
        </is>
      </c>
      <c r="T23" s="6" t="inlineStr">
        <is>
          <t>Never run · avatar task not built (needs lip-sync rubric)</t>
        </is>
      </c>
      <c r="U23" s="6" t="inlineStr">
        <is>
          <t>No — task not built</t>
        </is>
      </c>
      <c r="V23" s="6" t="inlineStr"/>
      <c r="X23" s="7" t="n"/>
      <c r="Y23" s="7" t="n"/>
    </row>
    <row r="24" ht="150" customHeight="1">
      <c r="A24" s="5" t="n">
        <v>23</v>
      </c>
      <c r="B24" s="6" t="inlineStr">
        <is>
          <t>Available — existing bank</t>
        </is>
      </c>
      <c r="C24" s="6" t="inlineStr">
        <is>
          <t>VID-AVA-03</t>
        </is>
      </c>
      <c r="D24" s="6" t="inlineStr">
        <is>
          <t>Avatar / Dialogue</t>
        </is>
      </c>
      <c r="E24" s="6" t="inlineStr">
        <is>
          <t>Avatar / presenter / dialogue</t>
        </is>
      </c>
      <c r="F24" s="6" t="inlineStr">
        <is>
          <t>Micro-drama &amp; entertainment</t>
        </is>
      </c>
      <c r="G24" s="6" t="inlineStr">
        <is>
          <t>Ecommerce &amp; Retail, Ads</t>
        </is>
      </c>
      <c r="H24" s="6" t="inlineStr">
        <is>
          <t>Gestural delivery</t>
        </is>
      </c>
      <c r="I24" s="6" t="inlineStr">
        <is>
          <t>none</t>
        </is>
      </c>
      <c r="J24" s="6" t="inlineStr">
        <is>
          <t>Body language coherence with speech</t>
        </is>
      </c>
      <c r="K24" s="6" t="inlineStr">
        <is>
          <t>A presenter explains a three-step process using natural hand gestures that match the beats of what they are saying.</t>
        </is>
      </c>
      <c r="L24" s="6" t="inlineStr">
        <is>
          <t>1) Three beats discernible in speech  2) Gestures align with the beats  3) Hands anatomically correct throughout  4) Sync maintained</t>
        </is>
      </c>
      <c r="M24" s="6" t="inlineStr">
        <is>
          <t>Body language coherence with speech</t>
        </is>
      </c>
      <c r="P24" s="6" t="inlineStr">
        <is>
          <t>—</t>
        </is>
      </c>
      <c r="Q24" s="6" t="inlineStr">
        <is>
          <t>No asset needed</t>
        </is>
      </c>
      <c r="R24" s="6" t="inlineStr">
        <is>
          <t>In the bank</t>
        </is>
      </c>
      <c r="S24" s="6" t="inlineStr">
        <is>
          <t>—</t>
        </is>
      </c>
      <c r="T24" s="6" t="inlineStr">
        <is>
          <t>Never run · avatar task not built (needs lip-sync rubric)</t>
        </is>
      </c>
      <c r="U24" s="6" t="inlineStr">
        <is>
          <t>No — task not built</t>
        </is>
      </c>
      <c r="V24" s="6" t="inlineStr"/>
      <c r="X24" s="7" t="n"/>
      <c r="Y24" s="7" t="n"/>
    </row>
    <row r="25" ht="150" customHeight="1">
      <c r="A25" s="5" t="n">
        <v>24</v>
      </c>
      <c r="B25" s="6" t="inlineStr">
        <is>
          <t>Available — existing bank</t>
        </is>
      </c>
      <c r="C25" s="6" t="inlineStr">
        <is>
          <t>VID-AVA-04</t>
        </is>
      </c>
      <c r="D25" s="6" t="inlineStr">
        <is>
          <t>Avatar / Dialogue</t>
        </is>
      </c>
      <c r="E25" s="6" t="inlineStr">
        <is>
          <t>Avatar / presenter / dialogue</t>
        </is>
      </c>
      <c r="F25" s="6" t="inlineStr">
        <is>
          <t>Micro-drama &amp; entertainment</t>
        </is>
      </c>
      <c r="G25" s="6" t="inlineStr">
        <is>
          <t>Ecommerce &amp; Retail, Ads</t>
        </is>
      </c>
      <c r="H25" s="6" t="inlineStr">
        <is>
          <t>Second language, same presenter</t>
        </is>
      </c>
      <c r="I25" s="6" t="inlineStr">
        <is>
          <t>Presenter reference; Hindi script</t>
        </is>
      </c>
      <c r="J25" s="6" t="inlineStr">
        <is>
          <t>Multilingual sync and identity</t>
        </is>
      </c>
      <c r="K25" s="6" t="inlineStr">
        <is>
          <t>The same presenter delivers this script in Hindi. Identity, framing and delivery style unchanged from the English version.</t>
        </is>
      </c>
      <c r="L25" s="6" t="inlineStr">
        <is>
          <t>1) Hindi spoken correctly  2) Lip-sync matches Hindi phonemes  3) Same presenter identity  4) Same framing</t>
        </is>
      </c>
      <c r="M25" s="6" t="inlineStr">
        <is>
          <t>Multilingual sync and identity</t>
        </is>
      </c>
      <c r="P25" s="6" t="inlineStr">
        <is>
          <t>open</t>
        </is>
      </c>
      <c r="Q25" s="6" t="inlineStr">
        <is>
          <t>IndicVoices-R (AI4Bharat)</t>
        </is>
      </c>
      <c r="R25" s="6" t="inlineStr">
        <is>
          <t>In the bank</t>
        </is>
      </c>
      <c r="S25" s="6" t="inlineStr">
        <is>
          <t>—</t>
        </is>
      </c>
      <c r="T25" s="6" t="inlineStr">
        <is>
          <t>Never run · avatar task not built (needs lip-sync rubric)</t>
        </is>
      </c>
      <c r="U25" s="6" t="inlineStr">
        <is>
          <t>No — task not built</t>
        </is>
      </c>
      <c r="V25" s="6" t="inlineStr"/>
      <c r="X25" s="7" t="n"/>
      <c r="Y25" s="7" t="n"/>
    </row>
    <row r="26" ht="150" customHeight="1">
      <c r="A26" s="5" t="n">
        <v>25</v>
      </c>
      <c r="B26" s="6" t="inlineStr">
        <is>
          <t>Available — existing bank</t>
        </is>
      </c>
      <c r="C26" s="6" t="inlineStr">
        <is>
          <t>VID-AVA-05</t>
        </is>
      </c>
      <c r="D26" s="6" t="inlineStr">
        <is>
          <t>Avatar / Dialogue</t>
        </is>
      </c>
      <c r="E26" s="6" t="inlineStr">
        <is>
          <t>Avatar / presenter / dialogue</t>
        </is>
      </c>
      <c r="F26" s="6" t="inlineStr">
        <is>
          <t>Micro-drama &amp; entertainment</t>
        </is>
      </c>
      <c r="G26" s="6" t="inlineStr">
        <is>
          <t>Ecommerce &amp; Retail, Ads</t>
        </is>
      </c>
      <c r="H26" s="6" t="inlineStr">
        <is>
          <t>Emotional shift mid-clip</t>
        </is>
      </c>
      <c r="I26" s="6" t="inlineStr">
        <is>
          <t>none</t>
        </is>
      </c>
      <c r="J26" s="6" t="inlineStr">
        <is>
          <t>Controlled delivery change</t>
        </is>
      </c>
      <c r="K26" s="6" t="inlineStr">
        <is>
          <t>A presenter begins with a serious tone describing a problem, then shifts to an optimistic tone at the midpoint when describing the solution.</t>
        </is>
      </c>
      <c r="L26" s="6" t="inlineStr">
        <is>
          <t>1) Two distinct tonal registers  2) Shift occurs near the midpoint  3) Shift is audible and visible  4) Identity and sync hold across the shift</t>
        </is>
      </c>
      <c r="M26" s="6" t="inlineStr">
        <is>
          <t>Controlled delivery change</t>
        </is>
      </c>
      <c r="P26" s="6" t="inlineStr">
        <is>
          <t>—</t>
        </is>
      </c>
      <c r="Q26" s="6" t="inlineStr">
        <is>
          <t>No asset needed</t>
        </is>
      </c>
      <c r="R26" s="6" t="inlineStr">
        <is>
          <t>In the bank</t>
        </is>
      </c>
      <c r="S26" s="6" t="inlineStr">
        <is>
          <t>—</t>
        </is>
      </c>
      <c r="T26" s="6" t="inlineStr">
        <is>
          <t>Never run · avatar task not built (needs lip-sync rubric)</t>
        </is>
      </c>
      <c r="U26" s="6" t="inlineStr">
        <is>
          <t>No — task not built</t>
        </is>
      </c>
      <c r="V26" s="6" t="inlineStr"/>
      <c r="X26" s="7" t="n"/>
      <c r="Y26" s="7" t="n"/>
    </row>
    <row r="27" ht="150" customHeight="1">
      <c r="A27" s="5" t="n">
        <v>26</v>
      </c>
      <c r="B27" s="6" t="inlineStr">
        <is>
          <t>Available — existing bank</t>
        </is>
      </c>
      <c r="C27" s="6" t="inlineStr">
        <is>
          <t>VID-AVA-06</t>
        </is>
      </c>
      <c r="D27" s="6" t="inlineStr">
        <is>
          <t>Avatar / Dialogue</t>
        </is>
      </c>
      <c r="E27" s="6" t="inlineStr">
        <is>
          <t>Avatar / presenter / dialogue</t>
        </is>
      </c>
      <c r="F27" s="6" t="inlineStr">
        <is>
          <t>Micro-drama &amp; entertainment</t>
        </is>
      </c>
      <c r="G27" s="6" t="inlineStr">
        <is>
          <t>Ecommerce &amp; Retail, Ads</t>
        </is>
      </c>
      <c r="H27" s="6" t="inlineStr">
        <is>
          <t>Presenter with product</t>
        </is>
      </c>
      <c r="I27" s="6" t="inlineStr">
        <is>
          <t>Product reference</t>
        </is>
      </c>
      <c r="J27" s="6" t="inlineStr">
        <is>
          <t>Held-object stability during speech</t>
        </is>
      </c>
      <c r="K27" s="6" t="inlineStr">
        <is>
          <t>A presenter holds the supplied product up to camera while explaining it. The product must stay accurate and stable in their hand throughout.</t>
        </is>
      </c>
      <c r="L27" s="6" t="inlineStr">
        <is>
          <t>1) Product matches reference  2) Grip plausible and stable  3) Product does not morph  4) Speech and sync correct</t>
        </is>
      </c>
      <c r="M27" s="6" t="inlineStr">
        <is>
          <t>Held-object stability during speech</t>
        </is>
      </c>
      <c r="P27" s="6" t="inlineStr">
        <is>
          <t>open</t>
        </is>
      </c>
      <c r="Q27" s="6" t="inlineStr">
        <is>
          <t>Synthetic presenter — avoid LRS2/LRS3</t>
        </is>
      </c>
      <c r="R27" s="6" t="inlineStr">
        <is>
          <t>In the bank</t>
        </is>
      </c>
      <c r="S27" s="6" t="inlineStr">
        <is>
          <t>—</t>
        </is>
      </c>
      <c r="T27" s="6" t="inlineStr">
        <is>
          <t>Never run · avatar task not built (needs lip-sync rubric)</t>
        </is>
      </c>
      <c r="U27" s="6" t="inlineStr">
        <is>
          <t>No — task not built</t>
        </is>
      </c>
      <c r="V27" s="6" t="inlineStr"/>
      <c r="X27" s="7" t="n"/>
      <c r="Y27" s="7" t="n"/>
    </row>
    <row r="28" ht="150" customHeight="1">
      <c r="A28" s="5" t="n">
        <v>27</v>
      </c>
      <c r="B28" s="6" t="inlineStr">
        <is>
          <t>Available — existing bank</t>
        </is>
      </c>
      <c r="C28" s="6" t="inlineStr">
        <is>
          <t>VID-AVA-07</t>
        </is>
      </c>
      <c r="D28" s="6" t="inlineStr">
        <is>
          <t>Avatar / Dialogue</t>
        </is>
      </c>
      <c r="E28" s="6" t="inlineStr">
        <is>
          <t>Avatar / presenter / dialogue</t>
        </is>
      </c>
      <c r="F28" s="6" t="inlineStr">
        <is>
          <t>Micro-drama &amp; entertainment</t>
        </is>
      </c>
      <c r="G28" s="6" t="inlineStr">
        <is>
          <t>Ecommerce &amp; Retail, Ads</t>
        </is>
      </c>
      <c r="H28" s="6" t="inlineStr">
        <is>
          <t>Fifteen-second sync drift test</t>
        </is>
      </c>
      <c r="I28" s="6" t="inlineStr">
        <is>
          <t>none</t>
        </is>
      </c>
      <c r="J28" s="6" t="inlineStr">
        <is>
          <t>Sync stability over duration</t>
        </is>
      </c>
      <c r="K28" s="6" t="inlineStr">
        <is>
          <t>A presenter reads a fifteen-second script continuously. Lip-sync must hold from the first word to the last.</t>
        </is>
      </c>
      <c r="L28" s="6" t="inlineStr">
        <is>
          <t>1) Full script delivered  2) Single continuous take  3) Sync correct at the start  4) Sync still correct at the end</t>
        </is>
      </c>
      <c r="M28" s="6" t="inlineStr">
        <is>
          <t>Sync stability over duration</t>
        </is>
      </c>
      <c r="P28" s="6" t="inlineStr">
        <is>
          <t>—</t>
        </is>
      </c>
      <c r="Q28" s="6" t="inlineStr">
        <is>
          <t>No asset needed</t>
        </is>
      </c>
      <c r="R28" s="6" t="inlineStr">
        <is>
          <t>In the bank</t>
        </is>
      </c>
      <c r="S28" s="6" t="inlineStr">
        <is>
          <t>—</t>
        </is>
      </c>
      <c r="T28" s="6" t="inlineStr">
        <is>
          <t>Never run · avatar task not built (needs lip-sync rubric)</t>
        </is>
      </c>
      <c r="U28" s="6" t="inlineStr">
        <is>
          <t>No — task not built</t>
        </is>
      </c>
      <c r="V28" s="6" t="inlineStr"/>
      <c r="X28" s="7" t="n"/>
      <c r="Y28" s="7" t="n"/>
    </row>
    <row r="29" ht="150" customHeight="1">
      <c r="A29" s="5" t="n">
        <v>28</v>
      </c>
      <c r="B29" s="6" t="inlineStr">
        <is>
          <t>Available — existing bank</t>
        </is>
      </c>
      <c r="C29" s="6" t="inlineStr">
        <is>
          <t>VID-AVA-08</t>
        </is>
      </c>
      <c r="D29" s="6" t="inlineStr">
        <is>
          <t>Avatar / Dialogue</t>
        </is>
      </c>
      <c r="E29" s="6" t="inlineStr">
        <is>
          <t>Avatar / presenter / dialogue</t>
        </is>
      </c>
      <c r="F29" s="6" t="inlineStr">
        <is>
          <t>Micro-drama &amp; entertainment</t>
        </is>
      </c>
      <c r="G29" s="6" t="inlineStr">
        <is>
          <t>Ecommerce &amp; Retail, Ads</t>
        </is>
      </c>
      <c r="H29" s="6" t="inlineStr">
        <is>
          <t>Soft delivery</t>
        </is>
      </c>
      <c r="I29" s="6" t="inlineStr">
        <is>
          <t>none</t>
        </is>
      </c>
      <c r="J29" s="6" t="inlineStr">
        <is>
          <t>Low-energy speech and sync</t>
        </is>
      </c>
      <c r="K29" s="6" t="inlineStr">
        <is>
          <t>A presenter speaks quietly and slowly, almost confiding, in a dim room. Lip movement must still match the quiet delivery.</t>
        </is>
      </c>
      <c r="L29" s="6" t="inlineStr">
        <is>
          <t>1) Delivery is quiet and slow  2) Words still intelligible  3) Lip movement matches the reduced energy  4) Sync maintained</t>
        </is>
      </c>
      <c r="M29" s="6" t="inlineStr">
        <is>
          <t>Low-energy speech and sync</t>
        </is>
      </c>
      <c r="P29" s="6" t="inlineStr">
        <is>
          <t>—</t>
        </is>
      </c>
      <c r="Q29" s="6" t="inlineStr">
        <is>
          <t>No asset needed</t>
        </is>
      </c>
      <c r="R29" s="6" t="inlineStr">
        <is>
          <t>In the bank</t>
        </is>
      </c>
      <c r="S29" s="6" t="inlineStr">
        <is>
          <t>—</t>
        </is>
      </c>
      <c r="T29" s="6" t="inlineStr">
        <is>
          <t>Never run · avatar task not built (needs lip-sync rubric)</t>
        </is>
      </c>
      <c r="U29" s="6" t="inlineStr">
        <is>
          <t>No — task not built</t>
        </is>
      </c>
      <c r="V29" s="6" t="inlineStr"/>
      <c r="X29" s="7" t="n"/>
      <c r="Y29" s="7" t="n"/>
    </row>
    <row r="30" ht="150" customHeight="1">
      <c r="A30" s="5" t="n">
        <v>29</v>
      </c>
      <c r="B30" s="6" t="inlineStr">
        <is>
          <t>Available — existing bank</t>
        </is>
      </c>
      <c r="C30" s="6" t="inlineStr">
        <is>
          <t>VID-AVA-09</t>
        </is>
      </c>
      <c r="D30" s="6" t="inlineStr">
        <is>
          <t>Avatar / Dialogue</t>
        </is>
      </c>
      <c r="E30" s="6" t="inlineStr">
        <is>
          <t>Avatar / presenter / dialogue</t>
        </is>
      </c>
      <c r="F30" s="6" t="inlineStr">
        <is>
          <t>Micro-drama &amp; entertainment</t>
        </is>
      </c>
      <c r="G30" s="6" t="inlineStr">
        <is>
          <t>Ecommerce &amp; Retail, Ads</t>
        </is>
      </c>
      <c r="H30" s="6" t="inlineStr">
        <is>
          <t>Clean audio in a busy setting</t>
        </is>
      </c>
      <c r="I30" s="6" t="inlineStr">
        <is>
          <t>none</t>
        </is>
      </c>
      <c r="J30" s="6" t="inlineStr">
        <is>
          <t>Audio-visual scene mismatch handling</t>
        </is>
      </c>
      <c r="K30" s="6" t="inlineStr">
        <is>
          <t>A presenter speaks in a visually busy cafe. The visual environment is lively but the presenter's voice must be clean and clearly intelligible.</t>
        </is>
      </c>
      <c r="L30" s="6" t="inlineStr">
        <is>
          <t>1) Busy visual environment  2) Presenter voice clean and forward in the mix  3) Words intelligible  4) Sync maintained</t>
        </is>
      </c>
      <c r="M30" s="6" t="inlineStr">
        <is>
          <t>Audio-visual scene mismatch handling</t>
        </is>
      </c>
      <c r="P30" s="6" t="inlineStr">
        <is>
          <t>—</t>
        </is>
      </c>
      <c r="Q30" s="6" t="inlineStr">
        <is>
          <t>No asset needed</t>
        </is>
      </c>
      <c r="R30" s="6" t="inlineStr">
        <is>
          <t>In the bank</t>
        </is>
      </c>
      <c r="S30" s="6" t="inlineStr">
        <is>
          <t>—</t>
        </is>
      </c>
      <c r="T30" s="6" t="inlineStr">
        <is>
          <t>Never run · avatar task not built (needs lip-sync rubric)</t>
        </is>
      </c>
      <c r="U30" s="6" t="inlineStr">
        <is>
          <t>No — task not built</t>
        </is>
      </c>
      <c r="V30" s="6" t="inlineStr"/>
      <c r="X30" s="7" t="n"/>
      <c r="Y30" s="7" t="n"/>
    </row>
    <row r="31" ht="150" customHeight="1">
      <c r="A31" s="5" t="n">
        <v>30</v>
      </c>
      <c r="B31" s="6" t="inlineStr">
        <is>
          <t>Available — existing bank</t>
        </is>
      </c>
      <c r="C31" s="6" t="inlineStr">
        <is>
          <t>VID-AVA-10</t>
        </is>
      </c>
      <c r="D31" s="6" t="inlineStr">
        <is>
          <t>Avatar / Dialogue</t>
        </is>
      </c>
      <c r="E31" s="6" t="inlineStr">
        <is>
          <t>Avatar / presenter / dialogue</t>
        </is>
      </c>
      <c r="F31" s="6" t="inlineStr">
        <is>
          <t>Micro-drama &amp; entertainment</t>
        </is>
      </c>
      <c r="G31" s="6" t="inlineStr">
        <is>
          <t>Ecommerce &amp; Retail, Ads</t>
        </is>
      </c>
      <c r="H31" s="6" t="inlineStr">
        <is>
          <t>Spoken figures with on-screen match</t>
        </is>
      </c>
      <c r="I31" s="6" t="inlineStr">
        <is>
          <t>none</t>
        </is>
      </c>
      <c r="J31" s="6" t="inlineStr">
        <is>
          <t>Numeric accuracy across modalities</t>
        </is>
      </c>
      <c r="K31" s="6" t="inlineStr">
        <is>
          <t>A presenter says exactly: Your total is four thousand two hundred and fifty rupees. The same figure appears on screen as 4,250.</t>
        </is>
      </c>
      <c r="L31" s="6" t="inlineStr">
        <is>
          <t>1) Spoken figure exactly correct  2) On-screen figure reads 4,250  3) Spoken and on-screen figures agree  4) Sync maintained</t>
        </is>
      </c>
      <c r="M31" s="6" t="inlineStr">
        <is>
          <t>Numeric accuracy across modalities</t>
        </is>
      </c>
      <c r="P31" s="6" t="inlineStr">
        <is>
          <t>—</t>
        </is>
      </c>
      <c r="Q31" s="6" t="inlineStr">
        <is>
          <t>No asset needed</t>
        </is>
      </c>
      <c r="R31" s="6" t="inlineStr">
        <is>
          <t>In the bank</t>
        </is>
      </c>
      <c r="S31" s="6" t="inlineStr">
        <is>
          <t>—</t>
        </is>
      </c>
      <c r="T31" s="6" t="inlineStr">
        <is>
          <t>Never run · avatar task not built (needs lip-sync rubric)</t>
        </is>
      </c>
      <c r="U31" s="6" t="inlineStr">
        <is>
          <t>No — task not built</t>
        </is>
      </c>
      <c r="V31" s="6" t="inlineStr"/>
      <c r="X31" s="7" t="n"/>
      <c r="Y31" s="7" t="n"/>
    </row>
    <row r="32" ht="150" customHeight="1">
      <c r="A32" s="5" t="n">
        <v>31</v>
      </c>
      <c r="B32" s="6" t="inlineStr">
        <is>
          <t>Available — existing bank</t>
        </is>
      </c>
      <c r="C32" s="6" t="inlineStr">
        <is>
          <t>VID-I2V-01</t>
        </is>
      </c>
      <c r="D32" s="6" t="inlineStr">
        <is>
          <t>Image-to-Video</t>
        </is>
      </c>
      <c r="E32" s="6" t="inlineStr">
        <is>
          <t>Image-to-video / first-last frame</t>
        </is>
      </c>
      <c r="F32" s="6" t="inlineStr">
        <is>
          <t>Ads</t>
        </is>
      </c>
      <c r="G32" s="6" t="inlineStr">
        <is>
          <t>Ecommerce &amp; Retail, Micro-drama &amp; entertainment, Gaming</t>
        </is>
      </c>
      <c r="H32" s="6" t="inlineStr">
        <is>
          <t>Subtle animation of a still</t>
        </is>
      </c>
      <c r="I32" s="6" t="inlineStr">
        <is>
          <t>Portrait or scene photograph</t>
        </is>
      </c>
      <c r="J32" s="6" t="inlineStr">
        <is>
          <t>Motion without content drift</t>
        </is>
      </c>
      <c r="K32" s="6" t="inlineStr">
        <is>
          <t>Animate this photograph with subtle natural motion only — slight hair movement, gentle breathing, small ambient shifts. Nothing in the scene may change or move position.</t>
        </is>
      </c>
      <c r="L32" s="6" t="inlineStr">
        <is>
          <t>1) Motion is subtle and natural  2) No object changes position  3) Identity and scene unchanged  4) First frame matches the supplied image</t>
        </is>
      </c>
      <c r="M32" s="6" t="inlineStr">
        <is>
          <t>Motion without content drift</t>
        </is>
      </c>
      <c r="P32" s="6" t="inlineStr">
        <is>
          <t>open</t>
        </is>
      </c>
      <c r="Q32" s="6" t="inlineStr">
        <is>
          <t>Pexels / Unsplash (free commercial)</t>
        </is>
      </c>
      <c r="R32" s="6" t="inlineStr">
        <is>
          <t>In the bank</t>
        </is>
      </c>
      <c r="S32" s="6" t="inlineStr">
        <is>
          <t>—</t>
        </is>
      </c>
      <c r="T32" s="6" t="inlineStr">
        <is>
          <t>Never run · inputs were generated by gemini-3.1-flash-image</t>
        </is>
      </c>
      <c r="U32" s="6" t="inlineStr">
        <is>
          <t>No — overlaps a scenario already run</t>
        </is>
      </c>
      <c r="V32" s="6" t="inlineStr">
        <is>
          <t>Every input image was generated by a Google model; using them against a ByteDance arm is a confound. Replace with real photos before any run.</t>
        </is>
      </c>
      <c r="X32" s="7" t="n"/>
      <c r="Y32" s="7" t="n"/>
    </row>
    <row r="33" ht="150" customHeight="1">
      <c r="A33" s="5" t="n">
        <v>32</v>
      </c>
      <c r="B33" s="6" t="inlineStr">
        <is>
          <t>Available — existing bank</t>
        </is>
      </c>
      <c r="C33" s="6" t="inlineStr">
        <is>
          <t>VID-I2V-02</t>
        </is>
      </c>
      <c r="D33" s="6" t="inlineStr">
        <is>
          <t>Image-to-Video</t>
        </is>
      </c>
      <c r="E33" s="6" t="inlineStr">
        <is>
          <t>Image-to-video / first-last frame</t>
        </is>
      </c>
      <c r="F33" s="6" t="inlineStr">
        <is>
          <t>Ads</t>
        </is>
      </c>
      <c r="G33" s="6" t="inlineStr">
        <is>
          <t>Ecommerce &amp; Retail, Micro-drama &amp; entertainment, Gaming</t>
        </is>
      </c>
      <c r="H33" s="6" t="inlineStr">
        <is>
          <t>First frame continuation</t>
        </is>
      </c>
      <c r="I33" s="6" t="inlineStr">
        <is>
          <t>Reference image</t>
        </is>
      </c>
      <c r="J33" s="6" t="inlineStr">
        <is>
          <t>Faithful start-state adherence</t>
        </is>
      </c>
      <c r="K33" s="6" t="inlineStr">
        <is>
          <t>Use this image as the exact first frame. Continue it for five seconds with the person turning to look out of the window.</t>
        </is>
      </c>
      <c r="L33" s="6" t="inlineStr">
        <is>
          <t>1) First frame matches the supplied image  2) Turn action completes  3) Identity consistent  4) Scene consistent</t>
        </is>
      </c>
      <c r="M33" s="6" t="inlineStr">
        <is>
          <t>Faithful start-state adherence</t>
        </is>
      </c>
      <c r="P33" s="6" t="inlineStr">
        <is>
          <t>open</t>
        </is>
      </c>
      <c r="Q33" s="6" t="inlineStr">
        <is>
          <t>VBench-I2V image suite</t>
        </is>
      </c>
      <c r="R33" s="6" t="inlineStr">
        <is>
          <t>In the bank</t>
        </is>
      </c>
      <c r="S33" s="6" t="inlineStr">
        <is>
          <t>—</t>
        </is>
      </c>
      <c r="T33" s="6" t="inlineStr">
        <is>
          <t>Never run · inputs were generated by gemini-3.1-flash-image</t>
        </is>
      </c>
      <c r="U33" s="6" t="inlineStr">
        <is>
          <t>Optional — only with real (non-generated) inputs</t>
        </is>
      </c>
      <c r="V33" s="6" t="inlineStr">
        <is>
          <t>Every input image was generated by a Google model; using them against a ByteDance arm is a confound. Replace with real photos before any run.</t>
        </is>
      </c>
      <c r="X33" s="7" t="n"/>
      <c r="Y33" s="7" t="n"/>
    </row>
    <row r="34" ht="150" customHeight="1">
      <c r="A34" s="5" t="n">
        <v>33</v>
      </c>
      <c r="B34" s="6" t="inlineStr">
        <is>
          <t>Available — existing bank</t>
        </is>
      </c>
      <c r="C34" s="6" t="inlineStr">
        <is>
          <t>VID-I2V-03</t>
        </is>
      </c>
      <c r="D34" s="6" t="inlineStr">
        <is>
          <t>Image-to-Video</t>
        </is>
      </c>
      <c r="E34" s="6" t="inlineStr">
        <is>
          <t>Image-to-video / first-last frame</t>
        </is>
      </c>
      <c r="F34" s="6" t="inlineStr">
        <is>
          <t>Ads</t>
        </is>
      </c>
      <c r="G34" s="6" t="inlineStr">
        <is>
          <t>Ecommerce &amp; Retail, Micro-drama &amp; entertainment, Gaming</t>
        </is>
      </c>
      <c r="H34" s="6" t="inlineStr">
        <is>
          <t>First and last frame bridge</t>
        </is>
      </c>
      <c r="I34" s="6" t="inlineStr">
        <is>
          <t>Two reference images</t>
        </is>
      </c>
      <c r="J34" s="6" t="inlineStr">
        <is>
          <t>Interpolation between two fixed states</t>
        </is>
      </c>
      <c r="K34" s="6" t="inlineStr">
        <is>
          <t>Use the first supplied image as the opening frame and the second as the closing frame. Generate a natural five-second transition between them.</t>
        </is>
      </c>
      <c r="L34" s="6" t="inlineStr">
        <is>
          <t>1) Opening frame matches image one  2) Closing frame matches image two  3) Transition is continuous and plausible  4) No mid-clip discontinuity</t>
        </is>
      </c>
      <c r="M34" s="6" t="inlineStr">
        <is>
          <t>Interpolation between two fixed states</t>
        </is>
      </c>
      <c r="P34" s="6" t="inlineStr">
        <is>
          <t>open</t>
        </is>
      </c>
      <c r="Q34" s="6" t="inlineStr">
        <is>
          <t>VBench-I2V image suite</t>
        </is>
      </c>
      <c r="R34" s="6" t="inlineStr">
        <is>
          <t>In the bank</t>
        </is>
      </c>
      <c r="S34" s="6" t="inlineStr">
        <is>
          <t>—</t>
        </is>
      </c>
      <c r="T34" s="6" t="inlineStr">
        <is>
          <t>Never run · inputs were generated by gemini-3.1-flash-image</t>
        </is>
      </c>
      <c r="U34" s="6" t="inlineStr">
        <is>
          <t>Optional — only with real (non-generated) inputs</t>
        </is>
      </c>
      <c r="V34" s="6" t="inlineStr">
        <is>
          <t>Every input image was generated by a Google model; using them against a ByteDance arm is a confound. Replace with real photos before any run.</t>
        </is>
      </c>
      <c r="X34" s="7" t="n"/>
      <c r="Y34" s="7" t="n"/>
    </row>
    <row r="35" ht="150" customHeight="1">
      <c r="A35" s="5" t="n">
        <v>34</v>
      </c>
      <c r="B35" s="6" t="inlineStr">
        <is>
          <t>Available — existing bank</t>
        </is>
      </c>
      <c r="C35" s="6" t="inlineStr">
        <is>
          <t>VID-I2V-04</t>
        </is>
      </c>
      <c r="D35" s="6" t="inlineStr">
        <is>
          <t>Image-to-Video</t>
        </is>
      </c>
      <c r="E35" s="6" t="inlineStr">
        <is>
          <t>Image-to-video / first-last frame</t>
        </is>
      </c>
      <c r="F35" s="6" t="inlineStr">
        <is>
          <t>Ads</t>
        </is>
      </c>
      <c r="G35" s="6" t="inlineStr">
        <is>
          <t>Ecommerce &amp; Retail, Micro-drama &amp; entertainment, Gaming</t>
        </is>
      </c>
      <c r="H35" s="6" t="inlineStr">
        <is>
          <t>Reference character in a new scene</t>
        </is>
      </c>
      <c r="I35" s="6" t="inlineStr">
        <is>
          <t>Character reference</t>
        </is>
      </c>
      <c r="J35" s="6" t="inlineStr">
        <is>
          <t>Identity transfer into motion</t>
        </is>
      </c>
      <c r="K35" s="6" t="inlineStr">
        <is>
          <t>Take the character from the supplied reference and show them walking through a train station. Identity, outfit and build must match the reference.</t>
        </is>
      </c>
      <c r="L35" s="6" t="inlineStr">
        <is>
          <t>1) Character matches reference  2) Walking motion plausible  3) Station setting  4) Identity stable across the clip</t>
        </is>
      </c>
      <c r="M35" s="6" t="inlineStr">
        <is>
          <t>Identity transfer into motion</t>
        </is>
      </c>
      <c r="P35" s="6" t="inlineStr">
        <is>
          <t>open</t>
        </is>
      </c>
      <c r="Q35" s="6" t="inlineStr">
        <is>
          <t>SFHQ synthetic faces</t>
        </is>
      </c>
      <c r="R35" s="6" t="inlineStr">
        <is>
          <t>In the bank</t>
        </is>
      </c>
      <c r="S35" s="6" t="inlineStr">
        <is>
          <t>—</t>
        </is>
      </c>
      <c r="T35" s="6" t="inlineStr">
        <is>
          <t>Never run · inputs were generated by gemini-3.1-flash-image</t>
        </is>
      </c>
      <c r="U35" s="6" t="inlineStr">
        <is>
          <t>Optional — only with real (non-generated) inputs</t>
        </is>
      </c>
      <c r="V35" s="6" t="inlineStr">
        <is>
          <t>Every input image was generated by a Google model; using them against a ByteDance arm is a confound. Replace with real photos before any run.</t>
        </is>
      </c>
      <c r="X35" s="7" t="n"/>
      <c r="Y35" s="7" t="n"/>
    </row>
    <row r="36" ht="150" customHeight="1">
      <c r="A36" s="5" t="n">
        <v>35</v>
      </c>
      <c r="B36" s="6" t="inlineStr">
        <is>
          <t>Available — existing bank</t>
        </is>
      </c>
      <c r="C36" s="6" t="inlineStr">
        <is>
          <t>VID-I2V-05</t>
        </is>
      </c>
      <c r="D36" s="6" t="inlineStr">
        <is>
          <t>Image-to-Video</t>
        </is>
      </c>
      <c r="E36" s="6" t="inlineStr">
        <is>
          <t>Image-to-video / first-last frame</t>
        </is>
      </c>
      <c r="F36" s="6" t="inlineStr">
        <is>
          <t>Ads</t>
        </is>
      </c>
      <c r="G36" s="6" t="inlineStr">
        <is>
          <t>Ecommerce &amp; Retail, Micro-drama &amp; entertainment, Gaming</t>
        </is>
      </c>
      <c r="H36" s="6" t="inlineStr">
        <is>
          <t>Product still to rotation</t>
        </is>
      </c>
      <c r="I36" s="6" t="inlineStr">
        <is>
          <t>Product reference</t>
        </is>
      </c>
      <c r="J36" s="6" t="inlineStr">
        <is>
          <t>Structure inference from one view</t>
        </is>
      </c>
      <c r="K36" s="6" t="inlineStr">
        <is>
          <t>Rotate the supplied product image through 180 degrees to show its other side. Keep the product's form, colour and materials consistent.</t>
        </is>
      </c>
      <c r="L36" s="6" t="inlineStr">
        <is>
          <t>1) Rotation completes  2) Form consistent throughout  3) Colour and material consistent  4) First frame matches the reference</t>
        </is>
      </c>
      <c r="M36" s="6" t="inlineStr">
        <is>
          <t>Structure inference from one view</t>
        </is>
      </c>
      <c r="P36" s="6" t="inlineStr">
        <is>
          <t>open</t>
        </is>
      </c>
      <c r="Q36" s="6" t="inlineStr">
        <is>
          <t>Google Scanned Objects (CC BY 4.0)</t>
        </is>
      </c>
      <c r="R36" s="6" t="inlineStr">
        <is>
          <t>In the bank</t>
        </is>
      </c>
      <c r="S36" s="6" t="inlineStr">
        <is>
          <t>—</t>
        </is>
      </c>
      <c r="T36" s="6" t="inlineStr">
        <is>
          <t>Never run · inputs were generated by gemini-3.1-flash-image</t>
        </is>
      </c>
      <c r="U36" s="6" t="inlineStr">
        <is>
          <t>No — overlaps a scenario already run</t>
        </is>
      </c>
      <c r="V36" s="6" t="inlineStr">
        <is>
          <t>Every input image was generated by a Google model; using them against a ByteDance arm is a confound. Replace with real photos before any run.</t>
        </is>
      </c>
      <c r="X36" s="7" t="n"/>
      <c r="Y36" s="7" t="n"/>
    </row>
    <row r="37" ht="150" customHeight="1">
      <c r="A37" s="5" t="n">
        <v>36</v>
      </c>
      <c r="B37" s="6" t="inlineStr">
        <is>
          <t>Available — existing bank</t>
        </is>
      </c>
      <c r="C37" s="6" t="inlineStr">
        <is>
          <t>VID-I2V-06</t>
        </is>
      </c>
      <c r="D37" s="6" t="inlineStr">
        <is>
          <t>Image-to-Video</t>
        </is>
      </c>
      <c r="E37" s="6" t="inlineStr">
        <is>
          <t>Image-to-video / first-last frame</t>
        </is>
      </c>
      <c r="F37" s="6" t="inlineStr">
        <is>
          <t>Ads</t>
        </is>
      </c>
      <c r="G37" s="6" t="inlineStr">
        <is>
          <t>Ecommerce &amp; Retail, Micro-drama &amp; entertainment, Gaming</t>
        </is>
      </c>
      <c r="H37" s="6" t="inlineStr">
        <is>
          <t>Landscape parallax</t>
        </is>
      </c>
      <c r="I37" s="6" t="inlineStr">
        <is>
          <t>Landscape photograph</t>
        </is>
      </c>
      <c r="J37" s="6" t="inlineStr">
        <is>
          <t>Depth inference from a flat image</t>
        </is>
      </c>
      <c r="K37" s="6" t="inlineStr">
        <is>
          <t>Add a slow lateral camera move to this landscape photograph so that foreground and background separate with natural parallax.</t>
        </is>
      </c>
      <c r="L37" s="6" t="inlineStr">
        <is>
          <t>1) Lateral camera move present  2) Foreground moves faster than background  3) No warping or tearing  4) Scene content unchanged</t>
        </is>
      </c>
      <c r="M37" s="6" t="inlineStr">
        <is>
          <t>Depth inference from a flat image</t>
        </is>
      </c>
      <c r="P37" s="6" t="inlineStr">
        <is>
          <t>open</t>
        </is>
      </c>
      <c r="Q37" s="6" t="inlineStr">
        <is>
          <t>Pexels / Unsplash (free commercial)</t>
        </is>
      </c>
      <c r="R37" s="6" t="inlineStr">
        <is>
          <t>In the bank</t>
        </is>
      </c>
      <c r="S37" s="6" t="inlineStr">
        <is>
          <t>—</t>
        </is>
      </c>
      <c r="T37" s="6" t="inlineStr">
        <is>
          <t>Never run · inputs were generated by gemini-3.1-flash-image</t>
        </is>
      </c>
      <c r="U37" s="6" t="inlineStr">
        <is>
          <t>No — overlaps a scenario already run</t>
        </is>
      </c>
      <c r="V37" s="6" t="inlineStr">
        <is>
          <t>Every input image was generated by a Google model; using them against a ByteDance arm is a confound. Replace with real photos before any run.</t>
        </is>
      </c>
      <c r="X37" s="7" t="n"/>
      <c r="Y37" s="7" t="n"/>
    </row>
    <row r="38" ht="150" customHeight="1">
      <c r="A38" s="5" t="n">
        <v>37</v>
      </c>
      <c r="B38" s="6" t="inlineStr">
        <is>
          <t>Available — existing bank</t>
        </is>
      </c>
      <c r="C38" s="6" t="inlineStr">
        <is>
          <t>VID-I2V-07</t>
        </is>
      </c>
      <c r="D38" s="6" t="inlineStr">
        <is>
          <t>Image-to-Video</t>
        </is>
      </c>
      <c r="E38" s="6" t="inlineStr">
        <is>
          <t>Image-to-video / first-last frame</t>
        </is>
      </c>
      <c r="F38" s="6" t="inlineStr">
        <is>
          <t>Ads</t>
        </is>
      </c>
      <c r="G38" s="6" t="inlineStr">
        <is>
          <t>Ecommerce &amp; Retail, Micro-drama &amp; entertainment, Gaming</t>
        </is>
      </c>
      <c r="H38" s="6" t="inlineStr">
        <is>
          <t>Two references composited</t>
        </is>
      </c>
      <c r="I38" s="6" t="inlineStr">
        <is>
          <t>Character reference + environment reference</t>
        </is>
      </c>
      <c r="J38" s="6" t="inlineStr">
        <is>
          <t>Multi-input scene assembly</t>
        </is>
      </c>
      <c r="K38" s="6" t="inlineStr">
        <is>
          <t>Place the character from the first image into the environment from the second image, and have them walk forward. Both must match their references.</t>
        </is>
      </c>
      <c r="L38" s="6" t="inlineStr">
        <is>
          <t>1) Character matches its reference  2) Environment matches its reference  3) Lighting reconciled between them  4) Walk motion plausible</t>
        </is>
      </c>
      <c r="M38" s="6" t="inlineStr">
        <is>
          <t>Multi-input scene assembly</t>
        </is>
      </c>
      <c r="P38" s="6" t="inlineStr">
        <is>
          <t>open</t>
        </is>
      </c>
      <c r="Q38" s="6" t="inlineStr">
        <is>
          <t>SFHQ synthetic faces</t>
        </is>
      </c>
      <c r="R38" s="6" t="inlineStr">
        <is>
          <t>In the bank</t>
        </is>
      </c>
      <c r="S38" s="6" t="inlineStr">
        <is>
          <t>—</t>
        </is>
      </c>
      <c r="T38" s="6" t="inlineStr">
        <is>
          <t>Never run · inputs were generated by gemini-3.1-flash-image</t>
        </is>
      </c>
      <c r="U38" s="6" t="inlineStr">
        <is>
          <t>Optional — only with real (non-generated) inputs</t>
        </is>
      </c>
      <c r="V38" s="6" t="inlineStr">
        <is>
          <t>Every input image was generated by a Google model; using them against a ByteDance arm is a confound. Replace with real photos before any run.</t>
        </is>
      </c>
      <c r="X38" s="7" t="n"/>
      <c r="Y38" s="7" t="n"/>
    </row>
    <row r="39" ht="150" customHeight="1">
      <c r="A39" s="5" t="n">
        <v>38</v>
      </c>
      <c r="B39" s="6" t="inlineStr">
        <is>
          <t>Available — existing bank</t>
        </is>
      </c>
      <c r="C39" s="6" t="inlineStr">
        <is>
          <t>VID-I2V-08</t>
        </is>
      </c>
      <c r="D39" s="6" t="inlineStr">
        <is>
          <t>Image-to-Video</t>
        </is>
      </c>
      <c r="E39" s="6" t="inlineStr">
        <is>
          <t>Image-to-video / first-last frame</t>
        </is>
      </c>
      <c r="F39" s="6" t="inlineStr">
        <is>
          <t>Ads</t>
        </is>
      </c>
      <c r="G39" s="6" t="inlineStr">
        <is>
          <t>Ecommerce &amp; Retail, Micro-drama &amp; entertainment, Gaming</t>
        </is>
      </c>
      <c r="H39" s="6" t="inlineStr">
        <is>
          <t>Style plate plus motion brief</t>
        </is>
      </c>
      <c r="I39" s="6" t="inlineStr">
        <is>
          <t>Style plate image</t>
        </is>
      </c>
      <c r="J39" s="6" t="inlineStr">
        <is>
          <t>Aesthetic reference driving generation</t>
        </is>
      </c>
      <c r="K39" s="6" t="inlineStr">
        <is>
          <t>Generate a five-second shot of a market street that matches the colour palette and texture of the supplied style plate, with people moving through the frame.</t>
        </is>
      </c>
      <c r="L39" s="6" t="inlineStr">
        <is>
          <t>1) Palette matches the style plate  2) Market street subject  3) People in motion  4) Style consistent across all frames</t>
        </is>
      </c>
      <c r="M39" s="6" t="inlineStr">
        <is>
          <t>Aesthetic reference driving generation</t>
        </is>
      </c>
      <c r="P39" s="6" t="inlineStr">
        <is>
          <t>open</t>
        </is>
      </c>
      <c r="Q39" s="6" t="inlineStr">
        <is>
          <t>Pexels / Unsplash (free commercial)</t>
        </is>
      </c>
      <c r="R39" s="6" t="inlineStr">
        <is>
          <t>In the bank</t>
        </is>
      </c>
      <c r="S39" s="6" t="inlineStr">
        <is>
          <t>—</t>
        </is>
      </c>
      <c r="T39" s="6" t="inlineStr">
        <is>
          <t>Never run · inputs were generated by gemini-3.1-flash-image</t>
        </is>
      </c>
      <c r="U39" s="6" t="inlineStr">
        <is>
          <t>Optional — only with real (non-generated) inputs</t>
        </is>
      </c>
      <c r="V39" s="6" t="inlineStr">
        <is>
          <t>Every input image was generated by a Google model; using them against a ByteDance arm is a confound. Replace with real photos before any run.</t>
        </is>
      </c>
      <c r="X39" s="7" t="n"/>
      <c r="Y39" s="7" t="n"/>
    </row>
    <row r="40" ht="150" customHeight="1">
      <c r="A40" s="5" t="n">
        <v>39</v>
      </c>
      <c r="B40" s="6" t="inlineStr">
        <is>
          <t>Available — existing bank</t>
        </is>
      </c>
      <c r="C40" s="6" t="inlineStr">
        <is>
          <t>VID-I2V-09</t>
        </is>
      </c>
      <c r="D40" s="6" t="inlineStr">
        <is>
          <t>Image-to-Video</t>
        </is>
      </c>
      <c r="E40" s="6" t="inlineStr">
        <is>
          <t>Image-to-video / first-last frame</t>
        </is>
      </c>
      <c r="F40" s="6" t="inlineStr">
        <is>
          <t>Ads</t>
        </is>
      </c>
      <c r="G40" s="6" t="inlineStr">
        <is>
          <t>Ecommerce &amp; Retail, Micro-drama &amp; entertainment, Gaming</t>
        </is>
      </c>
      <c r="H40" s="6" t="inlineStr">
        <is>
          <t>Logo reveal from a still</t>
        </is>
      </c>
      <c r="I40" s="6" t="inlineStr">
        <is>
          <t>Logo file</t>
        </is>
      </c>
      <c r="J40" s="6" t="inlineStr">
        <is>
          <t>Brand asset animation</t>
        </is>
      </c>
      <c r="K40" s="6" t="inlineStr">
        <is>
          <t>Animate the supplied logo revealing itself from a soft blur into sharp focus, settling centred for the final two seconds.</t>
        </is>
      </c>
      <c r="L40" s="6" t="inlineStr">
        <is>
          <t>1) Reveal completes  2) Final logo geometry matches the supplied file  3) Colours accurate  4) Holds still at the end</t>
        </is>
      </c>
      <c r="M40" s="6" t="inlineStr">
        <is>
          <t>Brand asset animation</t>
        </is>
      </c>
      <c r="P40" s="6" t="inlineStr">
        <is>
          <t>—</t>
        </is>
      </c>
      <c r="Q40" s="6" t="inlineStr">
        <is>
          <t>Internal brand kit — build once</t>
        </is>
      </c>
      <c r="R40" s="6" t="inlineStr">
        <is>
          <t>In the bank</t>
        </is>
      </c>
      <c r="S40" s="6" t="inlineStr">
        <is>
          <t>—</t>
        </is>
      </c>
      <c r="T40" s="6" t="inlineStr">
        <is>
          <t>Never run · inputs were generated by gemini-3.1-flash-image</t>
        </is>
      </c>
      <c r="U40" s="6" t="inlineStr">
        <is>
          <t>No — overlaps a scenario already run</t>
        </is>
      </c>
      <c r="V40" s="6" t="inlineStr">
        <is>
          <t>Every input image was generated by a Google model; using them against a ByteDance arm is a confound. Replace with real photos before any run.</t>
        </is>
      </c>
      <c r="X40" s="7" t="n"/>
      <c r="Y40" s="7" t="n"/>
    </row>
    <row r="41" ht="150" customHeight="1">
      <c r="A41" s="5" t="n">
        <v>40</v>
      </c>
      <c r="B41" s="6" t="inlineStr">
        <is>
          <t>Available — existing bank</t>
        </is>
      </c>
      <c r="C41" s="6" t="inlineStr">
        <is>
          <t>VID-I2V-10</t>
        </is>
      </c>
      <c r="D41" s="6" t="inlineStr">
        <is>
          <t>Image-to-Video</t>
        </is>
      </c>
      <c r="E41" s="6" t="inlineStr">
        <is>
          <t>Image-to-video / first-last frame</t>
        </is>
      </c>
      <c r="F41" s="6" t="inlineStr">
        <is>
          <t>Ads</t>
        </is>
      </c>
      <c r="G41" s="6" t="inlineStr">
        <is>
          <t>Ecommerce &amp; Retail, Micro-drama &amp; entertainment, Gaming</t>
        </is>
      </c>
      <c r="H41" s="6" t="inlineStr">
        <is>
          <t>Three stills to a sequence</t>
        </is>
      </c>
      <c r="I41" s="6" t="inlineStr">
        <is>
          <t>Three reference stills</t>
        </is>
      </c>
      <c r="J41" s="6" t="inlineStr">
        <is>
          <t>Multi-shot assembly from references</t>
        </is>
      </c>
      <c r="K41" s="6" t="inlineStr">
        <is>
          <t>Using these three supplied stills in order as key moments, generate a continuous eight-second sequence that moves through all three.</t>
        </is>
      </c>
      <c r="L41" s="6" t="inlineStr">
        <is>
          <t>1) All three states appear, in the supplied order  2) Transitions between them are continuous  3) Subject consistent throughout  4) No content invented beyond the references</t>
        </is>
      </c>
      <c r="M41" s="6" t="inlineStr">
        <is>
          <t>Multi-shot assembly from references</t>
        </is>
      </c>
      <c r="P41" s="6" t="inlineStr">
        <is>
          <t>open</t>
        </is>
      </c>
      <c r="Q41" s="6" t="inlineStr">
        <is>
          <t>VBench-I2V image suite</t>
        </is>
      </c>
      <c r="R41" s="6" t="inlineStr">
        <is>
          <t>In the bank</t>
        </is>
      </c>
      <c r="S41" s="6" t="inlineStr">
        <is>
          <t>—</t>
        </is>
      </c>
      <c r="T41" s="6" t="inlineStr">
        <is>
          <t>Never run · inputs were generated by gemini-3.1-flash-image</t>
        </is>
      </c>
      <c r="U41" s="6" t="inlineStr">
        <is>
          <t>Optional — only with real (non-generated) inputs</t>
        </is>
      </c>
      <c r="V41" s="6" t="inlineStr">
        <is>
          <t>Every input image was generated by a Google model; using them against a ByteDance arm is a confound. Replace with real photos before any run.</t>
        </is>
      </c>
      <c r="X41" s="7" t="n"/>
      <c r="Y41" s="7" t="n"/>
    </row>
    <row r="42" ht="150" customHeight="1">
      <c r="A42" s="5" t="n">
        <v>41</v>
      </c>
      <c r="B42" s="6" t="inlineStr">
        <is>
          <t>Available — existing bank</t>
        </is>
      </c>
      <c r="C42" s="6" t="inlineStr">
        <is>
          <t>VID-EDIT-01</t>
        </is>
      </c>
      <c r="D42" s="6" t="inlineStr">
        <is>
          <t>Video Editing</t>
        </is>
      </c>
      <c r="E42" s="6" t="inlineStr">
        <is>
          <t>Conversational / local video editing</t>
        </is>
      </c>
      <c r="F42" s="6" t="inlineStr">
        <is>
          <t>Ads</t>
        </is>
      </c>
      <c r="G42" s="6" t="inlineStr">
        <is>
          <t>Micro-drama &amp; entertainment</t>
        </is>
      </c>
      <c r="H42" s="6" t="inlineStr">
        <is>
          <t>Recolour one object</t>
        </is>
      </c>
      <c r="I42" s="6" t="inlineStr">
        <is>
          <t>Source clip with a red umbrella</t>
        </is>
      </c>
      <c r="J42" s="6" t="inlineStr">
        <is>
          <t>Targeted change across all frames</t>
        </is>
      </c>
      <c r="K42" s="6" t="inlineStr">
        <is>
          <t>In this clip, change the colour of the red umbrella to yellow. Everything else in the shot must stay exactly as it is.</t>
        </is>
      </c>
      <c r="L42" s="6" t="inlineStr">
        <is>
          <t>1) Umbrella is yellow in every frame  2) Umbrella geometry unchanged  3) Nothing else recoloured  4) Motion unchanged</t>
        </is>
      </c>
      <c r="M42" s="6" t="inlineStr">
        <is>
          <t>Targeted change across all frames</t>
        </is>
      </c>
      <c r="P42" s="6" t="inlineStr">
        <is>
          <t>open</t>
        </is>
      </c>
      <c r="Q42" s="6" t="inlineStr">
        <is>
          <t>Pexels Video (free commercial)</t>
        </is>
      </c>
      <c r="R42" s="6" t="inlineStr">
        <is>
          <t>In the bank</t>
        </is>
      </c>
      <c r="S42" s="6" t="inlineStr">
        <is>
          <t>—</t>
        </is>
      </c>
      <c r="T42" s="6" t="inlineStr">
        <is>
          <t>Run 2026-09-11 · not compared (Seedance face filter)</t>
        </is>
      </c>
      <c r="U42" s="6" t="inlineStr">
        <is>
          <t>No — already run / retired</t>
        </is>
      </c>
      <c r="V42" s="6" t="inlineStr"/>
      <c r="X42" s="7" t="n"/>
      <c r="Y42" s="7" t="n"/>
    </row>
    <row r="43" ht="150" customHeight="1">
      <c r="A43" s="5" t="n">
        <v>42</v>
      </c>
      <c r="B43" s="6" t="inlineStr">
        <is>
          <t>Available — existing bank</t>
        </is>
      </c>
      <c r="C43" s="6" t="inlineStr">
        <is>
          <t>VID-EDIT-02</t>
        </is>
      </c>
      <c r="D43" s="6" t="inlineStr">
        <is>
          <t>Video Editing</t>
        </is>
      </c>
      <c r="E43" s="6" t="inlineStr">
        <is>
          <t>Conversational / local video editing</t>
        </is>
      </c>
      <c r="F43" s="6" t="inlineStr">
        <is>
          <t>Ads</t>
        </is>
      </c>
      <c r="G43" s="6" t="inlineStr">
        <is>
          <t>Micro-drama &amp; entertainment</t>
        </is>
      </c>
      <c r="H43" s="6" t="inlineStr">
        <is>
          <t>Remove a background element</t>
        </is>
      </c>
      <c r="I43" s="6" t="inlineStr">
        <is>
          <t>Source clip with a static bicycle</t>
        </is>
      </c>
      <c r="J43" s="6" t="inlineStr">
        <is>
          <t>Deletion with temporal stability</t>
        </is>
      </c>
      <c r="K43" s="6" t="inlineStr">
        <is>
          <t>Remove the parked bicycle from the background of this clip. Reconstruct what is behind it. Do not change the foreground subject or the camera move.</t>
        </is>
      </c>
      <c r="L43" s="6" t="inlineStr">
        <is>
          <t>1) Bicycle absent in all frames  2) Background reconstruction stable, no flicker  3) Foreground subject unchanged  4) Camera move preserved</t>
        </is>
      </c>
      <c r="M43" s="6" t="inlineStr">
        <is>
          <t>Deletion with temporal stability</t>
        </is>
      </c>
      <c r="P43" s="6" t="inlineStr">
        <is>
          <t>open</t>
        </is>
      </c>
      <c r="Q43" s="6" t="inlineStr">
        <is>
          <t>TGVE+ (adds removal / addition)</t>
        </is>
      </c>
      <c r="R43" s="6" t="inlineStr">
        <is>
          <t>In the bank</t>
        </is>
      </c>
      <c r="S43" s="6" t="inlineStr">
        <is>
          <t>—</t>
        </is>
      </c>
      <c r="T43" s="6" t="inlineStr">
        <is>
          <t>Retired 2026-09-09 — brief and clip cannot both be satisfied</t>
        </is>
      </c>
      <c r="U43" s="6" t="inlineStr">
        <is>
          <t>No — already run / retired</t>
        </is>
      </c>
      <c r="V43" s="6" t="inlineStr"/>
      <c r="X43" s="7" t="n"/>
      <c r="Y43" s="7" t="n"/>
    </row>
    <row r="44" ht="150" customHeight="1">
      <c r="A44" s="5" t="n">
        <v>43</v>
      </c>
      <c r="B44" s="6" t="inlineStr">
        <is>
          <t>Available — existing bank</t>
        </is>
      </c>
      <c r="C44" s="6" t="inlineStr">
        <is>
          <t>VID-EDIT-03</t>
        </is>
      </c>
      <c r="D44" s="6" t="inlineStr">
        <is>
          <t>Video Editing</t>
        </is>
      </c>
      <c r="E44" s="6" t="inlineStr">
        <is>
          <t>Conversational / local video editing</t>
        </is>
      </c>
      <c r="F44" s="6" t="inlineStr">
        <is>
          <t>Ads</t>
        </is>
      </c>
      <c r="G44" s="6" t="inlineStr">
        <is>
          <t>Micro-drama &amp; entertainment</t>
        </is>
      </c>
      <c r="H44" s="6" t="inlineStr">
        <is>
          <t>Background replacement</t>
        </is>
      </c>
      <c r="I44" s="6" t="inlineStr">
        <is>
          <t>Source clip with a person</t>
        </is>
      </c>
      <c r="J44" s="6" t="inlineStr">
        <is>
          <t>Matting quality under motion</t>
        </is>
      </c>
      <c r="K44" s="6" t="inlineStr">
        <is>
          <t>Replace the background of this clip with a modern office interior. Keep the person, their motion and the lighting on them exactly as they are.</t>
        </is>
      </c>
      <c r="L44" s="6" t="inlineStr">
        <is>
          <t>1) Background replaced throughout  2) Subject edges clean, no fringing  3) Subject motion unchanged  4) Subject lighting unchanged</t>
        </is>
      </c>
      <c r="M44" s="6" t="inlineStr">
        <is>
          <t>Matting quality under motion</t>
        </is>
      </c>
      <c r="P44" s="6" t="inlineStr">
        <is>
          <t>open</t>
        </is>
      </c>
      <c r="Q44" s="6" t="inlineStr">
        <is>
          <t>LOVEU-TGVE-2023 (CC, redistributable)</t>
        </is>
      </c>
      <c r="R44" s="6" t="inlineStr">
        <is>
          <t>In the bank</t>
        </is>
      </c>
      <c r="S44" s="6" t="inlineStr">
        <is>
          <t>—</t>
        </is>
      </c>
      <c r="T44" s="6" t="inlineStr">
        <is>
          <t>Run 2026-09-11 · Omni Flash won (+8.0 pp)</t>
        </is>
      </c>
      <c r="U44" s="6" t="inlineStr">
        <is>
          <t>No — already run / retired</t>
        </is>
      </c>
      <c r="V44" s="6" t="inlineStr"/>
      <c r="X44" s="7" t="n"/>
      <c r="Y44" s="7" t="n"/>
    </row>
    <row r="45" ht="150" customHeight="1">
      <c r="A45" s="5" t="n">
        <v>44</v>
      </c>
      <c r="B45" s="6" t="inlineStr">
        <is>
          <t>Available — existing bank</t>
        </is>
      </c>
      <c r="C45" s="6" t="inlineStr">
        <is>
          <t>VID-EDIT-04</t>
        </is>
      </c>
      <c r="D45" s="6" t="inlineStr">
        <is>
          <t>Video Editing</t>
        </is>
      </c>
      <c r="E45" s="6" t="inlineStr">
        <is>
          <t>Conversational / local video editing</t>
        </is>
      </c>
      <c r="F45" s="6" t="inlineStr">
        <is>
          <t>Ads</t>
        </is>
      </c>
      <c r="G45" s="6" t="inlineStr">
        <is>
          <t>Micro-drama &amp; entertainment</t>
        </is>
      </c>
      <c r="H45" s="6" t="inlineStr">
        <is>
          <t>Change time of day</t>
        </is>
      </c>
      <c r="I45" s="6" t="inlineStr">
        <is>
          <t>Daytime source clip</t>
        </is>
      </c>
      <c r="J45" s="6" t="inlineStr">
        <is>
          <t>Global relight without content change</t>
        </is>
      </c>
      <c r="K45" s="6" t="inlineStr">
        <is>
          <t>Change this daytime clip to dusk. Warm low light, longer shadows. Every object, person and movement must stay exactly the same.</t>
        </is>
      </c>
      <c r="L45" s="6" t="inlineStr">
        <is>
          <t>1) Lighting reads as dusk  2) Shadow direction and length changed consistently  3) All objects unchanged in position  4) Motion unchanged</t>
        </is>
      </c>
      <c r="M45" s="6" t="inlineStr">
        <is>
          <t>Global relight without content change</t>
        </is>
      </c>
      <c r="P45" s="6" t="inlineStr">
        <is>
          <t>open</t>
        </is>
      </c>
      <c r="Q45" s="6" t="inlineStr">
        <is>
          <t>LOVEU-TGVE-2023 (CC, redistributable)</t>
        </is>
      </c>
      <c r="R45" s="6" t="inlineStr">
        <is>
          <t>In the bank</t>
        </is>
      </c>
      <c r="S45" s="6" t="inlineStr">
        <is>
          <t>—</t>
        </is>
      </c>
      <c r="T45" s="6" t="inlineStr">
        <is>
          <t>Run 2026-09-11 · not compared (both failed)</t>
        </is>
      </c>
      <c r="U45" s="6" t="inlineStr">
        <is>
          <t>No — already run / retired</t>
        </is>
      </c>
      <c r="V45" s="6" t="inlineStr"/>
      <c r="X45" s="7" t="n"/>
      <c r="Y45" s="7" t="n"/>
    </row>
    <row r="46" ht="150" customHeight="1">
      <c r="A46" s="5" t="n">
        <v>45</v>
      </c>
      <c r="B46" s="6" t="inlineStr">
        <is>
          <t>Available — existing bank</t>
        </is>
      </c>
      <c r="C46" s="6" t="inlineStr">
        <is>
          <t>VID-EDIT-05</t>
        </is>
      </c>
      <c r="D46" s="6" t="inlineStr">
        <is>
          <t>Video Editing</t>
        </is>
      </c>
      <c r="E46" s="6" t="inlineStr">
        <is>
          <t>Conversational / local video editing</t>
        </is>
      </c>
      <c r="F46" s="6" t="inlineStr">
        <is>
          <t>Ads</t>
        </is>
      </c>
      <c r="G46" s="6" t="inlineStr">
        <is>
          <t>Micro-drama &amp; entertainment</t>
        </is>
      </c>
      <c r="H46" s="6" t="inlineStr">
        <is>
          <t>Add a physically correct object</t>
        </is>
      </c>
      <c r="I46" s="6" t="inlineStr">
        <is>
          <t>Source clip with a table</t>
        </is>
      </c>
      <c r="J46" s="6" t="inlineStr">
        <is>
          <t>Insertion with scene interaction</t>
        </is>
      </c>
      <c r="K46" s="6" t="inlineStr">
        <is>
          <t>Add a ceramic vase to the empty end of the table in this clip. It must sit correctly on the surface, cast a matching shadow, and stay fixed as the camera moves.</t>
        </is>
      </c>
      <c r="L46" s="6" t="inlineStr">
        <is>
          <t>1) Vase present throughout  2) Sits on the surface, not floating  3) Shadow matches scene lighting  4) Stays locked to the table under camera motion</t>
        </is>
      </c>
      <c r="M46" s="6" t="inlineStr">
        <is>
          <t>Insertion with scene interaction</t>
        </is>
      </c>
      <c r="P46" s="6" t="inlineStr">
        <is>
          <t>open</t>
        </is>
      </c>
      <c r="Q46" s="6" t="inlineStr">
        <is>
          <t>TGVE+ (adds removal / addition)</t>
        </is>
      </c>
      <c r="R46" s="6" t="inlineStr">
        <is>
          <t>In the bank</t>
        </is>
      </c>
      <c r="S46" s="6" t="inlineStr">
        <is>
          <t>—</t>
        </is>
      </c>
      <c r="T46" s="6" t="inlineStr">
        <is>
          <t>Run 2026-09-11 · tie (+0.0 pp)</t>
        </is>
      </c>
      <c r="U46" s="6" t="inlineStr">
        <is>
          <t>No — already run / retired</t>
        </is>
      </c>
      <c r="V46" s="6" t="inlineStr"/>
      <c r="X46" s="7" t="n"/>
      <c r="Y46" s="7" t="n"/>
    </row>
    <row r="47" ht="150" customHeight="1">
      <c r="A47" s="5" t="n">
        <v>46</v>
      </c>
      <c r="B47" s="6" t="inlineStr">
        <is>
          <t>Available — existing bank</t>
        </is>
      </c>
      <c r="C47" s="6" t="inlineStr">
        <is>
          <t>VID-EDIT-06</t>
        </is>
      </c>
      <c r="D47" s="6" t="inlineStr">
        <is>
          <t>Video Editing</t>
        </is>
      </c>
      <c r="E47" s="6" t="inlineStr">
        <is>
          <t>Conversational / local video editing</t>
        </is>
      </c>
      <c r="F47" s="6" t="inlineStr">
        <is>
          <t>Ads</t>
        </is>
      </c>
      <c r="G47" s="6" t="inlineStr">
        <is>
          <t>Micro-drama &amp; entertainment</t>
        </is>
      </c>
      <c r="H47" s="6" t="inlineStr">
        <is>
          <t>Extend clip duration</t>
        </is>
      </c>
      <c r="I47" s="6" t="inlineStr">
        <is>
          <t>Five-second source clip</t>
        </is>
      </c>
      <c r="J47" s="6" t="inlineStr">
        <is>
          <t>Continuity beyond the source</t>
        </is>
      </c>
      <c r="K47" s="6" t="inlineStr">
        <is>
          <t>Extend this five-second clip to eight seconds, continuing the existing motion naturally. No repetition, no jump at the join.</t>
        </is>
      </c>
      <c r="L47" s="6" t="inlineStr">
        <is>
          <t>1) Output is eight seconds  2) Original five seconds preserved  3) No visible seam at the join  4) Continued motion is plausible</t>
        </is>
      </c>
      <c r="M47" s="6" t="inlineStr">
        <is>
          <t>Continuity beyond the source</t>
        </is>
      </c>
      <c r="P47" s="6" t="inlineStr">
        <is>
          <t>open</t>
        </is>
      </c>
      <c r="Q47" s="6" t="inlineStr">
        <is>
          <t>LOVEU-TGVE-2023 (CC, redistributable)</t>
        </is>
      </c>
      <c r="R47" s="6" t="inlineStr">
        <is>
          <t>In the bank</t>
        </is>
      </c>
      <c r="S47" s="6" t="inlineStr">
        <is>
          <t>—</t>
        </is>
      </c>
      <c r="T47" s="6" t="inlineStr">
        <is>
          <t>Run 2026-09-11 · not compared (Omni Flash failed)</t>
        </is>
      </c>
      <c r="U47" s="6" t="inlineStr">
        <is>
          <t>No — already run / retired</t>
        </is>
      </c>
      <c r="V47" s="6" t="inlineStr"/>
      <c r="X47" s="7" t="n"/>
      <c r="Y47" s="7" t="n"/>
    </row>
    <row r="48" ht="150" customHeight="1">
      <c r="A48" s="5" t="n">
        <v>47</v>
      </c>
      <c r="B48" s="6" t="inlineStr">
        <is>
          <t>Available — existing bank</t>
        </is>
      </c>
      <c r="C48" s="6" t="inlineStr">
        <is>
          <t>VID-EDIT-07</t>
        </is>
      </c>
      <c r="D48" s="6" t="inlineStr">
        <is>
          <t>Video Editing</t>
        </is>
      </c>
      <c r="E48" s="6" t="inlineStr">
        <is>
          <t>Conversational / local video editing</t>
        </is>
      </c>
      <c r="F48" s="6" t="inlineStr">
        <is>
          <t>Ads</t>
        </is>
      </c>
      <c r="G48" s="6" t="inlineStr">
        <is>
          <t>Micro-drama &amp; entertainment</t>
        </is>
      </c>
      <c r="H48" s="6" t="inlineStr">
        <is>
          <t>Change the camera move</t>
        </is>
      </c>
      <c r="I48" s="6" t="inlineStr">
        <is>
          <t>Static source clip</t>
        </is>
      </c>
      <c r="J48" s="6" t="inlineStr">
        <is>
          <t>Motion re-authoring</t>
        </is>
      </c>
      <c r="K48" s="6" t="inlineStr">
        <is>
          <t>Re-render this clip with a slow push-in instead of the existing static framing. Keep the subject, action and lighting identical.</t>
        </is>
      </c>
      <c r="L48" s="6" t="inlineStr">
        <is>
          <t>1) Push-in present  2) Subject and action unchanged  3) Lighting unchanged  4) No warping at frame edges</t>
        </is>
      </c>
      <c r="M48" s="6" t="inlineStr">
        <is>
          <t>Motion re-authoring</t>
        </is>
      </c>
      <c r="P48" s="6" t="inlineStr">
        <is>
          <t>open</t>
        </is>
      </c>
      <c r="Q48" s="6" t="inlineStr">
        <is>
          <t>LOVEU-TGVE-2023 (CC, redistributable)</t>
        </is>
      </c>
      <c r="R48" s="6" t="inlineStr">
        <is>
          <t>In the bank</t>
        </is>
      </c>
      <c r="S48" s="6" t="inlineStr">
        <is>
          <t>—</t>
        </is>
      </c>
      <c r="T48" s="6" t="inlineStr">
        <is>
          <t>Run 2026-09-11 · tie (+0.0 pp)</t>
        </is>
      </c>
      <c r="U48" s="6" t="inlineStr">
        <is>
          <t>No — already run / retired</t>
        </is>
      </c>
      <c r="V48" s="6" t="inlineStr"/>
      <c r="X48" s="7" t="n"/>
      <c r="Y48" s="7" t="n"/>
    </row>
    <row r="49" ht="150" customHeight="1">
      <c r="A49" s="5" t="n">
        <v>48</v>
      </c>
      <c r="B49" s="6" t="inlineStr">
        <is>
          <t>Available — existing bank</t>
        </is>
      </c>
      <c r="C49" s="6" t="inlineStr">
        <is>
          <t>VID-EDIT-08</t>
        </is>
      </c>
      <c r="D49" s="6" t="inlineStr">
        <is>
          <t>Video Editing</t>
        </is>
      </c>
      <c r="E49" s="6" t="inlineStr">
        <is>
          <t>Conversational / local video editing</t>
        </is>
      </c>
      <c r="F49" s="6" t="inlineStr">
        <is>
          <t>Ads</t>
        </is>
      </c>
      <c r="G49" s="6" t="inlineStr">
        <is>
          <t>Micro-drama &amp; entertainment</t>
        </is>
      </c>
      <c r="H49" s="6" t="inlineStr">
        <is>
          <t>Three sequential edits</t>
        </is>
      </c>
      <c r="I49" s="6" t="inlineStr">
        <is>
          <t>Source clip</t>
        </is>
      </c>
      <c r="J49" s="6" t="inlineStr">
        <is>
          <t>Multi-turn drift resistance</t>
        </is>
      </c>
      <c r="K49" s="6" t="inlineStr">
        <is>
          <t>Turn 1: make the jacket blue. Turn 2: remove the sign in the background. Turn 3: change the sky to overcast. Each edit must hold and nothing else may drift.</t>
        </is>
      </c>
      <c r="L49" s="6" t="inlineStr">
        <is>
          <t>1) All three edits applied  2) Earlier edits still intact after later turns  3) Nothing outside the three targets changed  4) No cumulative quality loss</t>
        </is>
      </c>
      <c r="M49" s="6" t="inlineStr">
        <is>
          <t>Multi-turn drift resistance</t>
        </is>
      </c>
      <c r="P49" s="6" t="inlineStr">
        <is>
          <t>open</t>
        </is>
      </c>
      <c r="Q49" s="6" t="inlineStr">
        <is>
          <t>LOVEU-TGVE-2023 (CC, redistributable)</t>
        </is>
      </c>
      <c r="R49" s="6" t="inlineStr">
        <is>
          <t>In the bank</t>
        </is>
      </c>
      <c r="S49" s="6" t="inlineStr">
        <is>
          <t>—</t>
        </is>
      </c>
      <c r="T49" s="6" t="inlineStr">
        <is>
          <t>Run 2026-09-11 · not compared (both failed)</t>
        </is>
      </c>
      <c r="U49" s="6" t="inlineStr">
        <is>
          <t>No — already run / retired</t>
        </is>
      </c>
      <c r="V49" s="6" t="inlineStr"/>
      <c r="X49" s="7" t="n"/>
      <c r="Y49" s="7" t="n"/>
    </row>
    <row r="50" ht="150" customHeight="1">
      <c r="A50" s="5" t="n">
        <v>49</v>
      </c>
      <c r="B50" s="6" t="inlineStr">
        <is>
          <t>Available — existing bank</t>
        </is>
      </c>
      <c r="C50" s="6" t="inlineStr">
        <is>
          <t>VID-EDIT-09</t>
        </is>
      </c>
      <c r="D50" s="6" t="inlineStr">
        <is>
          <t>Video Editing</t>
        </is>
      </c>
      <c r="E50" s="6" t="inlineStr">
        <is>
          <t>Conversational / local video editing</t>
        </is>
      </c>
      <c r="F50" s="6" t="inlineStr">
        <is>
          <t>Ads</t>
        </is>
      </c>
      <c r="G50" s="6" t="inlineStr">
        <is>
          <t>Micro-drama &amp; entertainment</t>
        </is>
      </c>
      <c r="H50" s="6" t="inlineStr">
        <is>
          <t>Edit on-screen text only</t>
        </is>
      </c>
      <c r="I50" s="6" t="inlineStr">
        <is>
          <t>Source clip with on-screen text</t>
        </is>
      </c>
      <c r="J50" s="6" t="inlineStr">
        <is>
          <t>Typographic targeted edit</t>
        </is>
      </c>
      <c r="K50" s="6" t="inlineStr">
        <is>
          <t>In this clip, change the on-screen text from SALE to OFFER. Match the existing font, size, colour and position. Change nothing else.</t>
        </is>
      </c>
      <c r="L50" s="6" t="inlineStr">
        <is>
          <t>1) Text reads OFFER  2) Font, size, colour match the original  3) Position unchanged  4) Rest of frame unchanged</t>
        </is>
      </c>
      <c r="M50" s="6" t="inlineStr">
        <is>
          <t>Typographic targeted edit</t>
        </is>
      </c>
      <c r="P50" s="6" t="inlineStr">
        <is>
          <t>open</t>
        </is>
      </c>
      <c r="Q50" s="6" t="inlineStr">
        <is>
          <t>Pexels Video (free commercial)</t>
        </is>
      </c>
      <c r="R50" s="6" t="inlineStr">
        <is>
          <t>In the bank</t>
        </is>
      </c>
      <c r="S50" s="6" t="inlineStr">
        <is>
          <t>—</t>
        </is>
      </c>
      <c r="T50" s="6" t="inlineStr">
        <is>
          <t>Run 2026-09-11 · not compared (both failed)</t>
        </is>
      </c>
      <c r="U50" s="6" t="inlineStr">
        <is>
          <t>No — already run / retired</t>
        </is>
      </c>
      <c r="V50" s="6" t="inlineStr"/>
      <c r="X50" s="7" t="n"/>
      <c r="Y50" s="7" t="n"/>
    </row>
    <row r="51" ht="150" customHeight="1">
      <c r="A51" s="5" t="n">
        <v>50</v>
      </c>
      <c r="B51" s="6" t="inlineStr">
        <is>
          <t>Available — existing bank</t>
        </is>
      </c>
      <c r="C51" s="6" t="inlineStr">
        <is>
          <t>VID-EDIT-10</t>
        </is>
      </c>
      <c r="D51" s="6" t="inlineStr">
        <is>
          <t>Video Editing</t>
        </is>
      </c>
      <c r="E51" s="6" t="inlineStr">
        <is>
          <t>Conversational / local video editing</t>
        </is>
      </c>
      <c r="F51" s="6" t="inlineStr">
        <is>
          <t>Ads</t>
        </is>
      </c>
      <c r="G51" s="6" t="inlineStr">
        <is>
          <t>Micro-drama &amp; entertainment</t>
        </is>
      </c>
      <c r="H51" s="6" t="inlineStr">
        <is>
          <t>Revert a prior edit</t>
        </is>
      </c>
      <c r="I51" s="6" t="inlineStr">
        <is>
          <t>Previously edited clip</t>
        </is>
      </c>
      <c r="J51" s="6" t="inlineStr">
        <is>
          <t>Instruction reversal</t>
        </is>
      </c>
      <c r="K51" s="6" t="inlineStr">
        <is>
          <t>Following the previous edit, undo the colour change to the jacket and return it to its original colour. Leave all other edits in place.</t>
        </is>
      </c>
      <c r="L51" s="6" t="inlineStr">
        <is>
          <t>1) Jacket returned to original colour  2) Other edits still present  3) No degradation from the round trip  4) Motion unchanged</t>
        </is>
      </c>
      <c r="M51" s="6" t="inlineStr">
        <is>
          <t>Instruction reversal</t>
        </is>
      </c>
      <c r="P51" s="6" t="inlineStr">
        <is>
          <t>open</t>
        </is>
      </c>
      <c r="Q51" s="6" t="inlineStr">
        <is>
          <t>LOVEU-TGVE-2023 (CC, redistributable)</t>
        </is>
      </c>
      <c r="R51" s="6" t="inlineStr">
        <is>
          <t>In the bank</t>
        </is>
      </c>
      <c r="S51" s="6" t="inlineStr">
        <is>
          <t>—</t>
        </is>
      </c>
      <c r="T51" s="6" t="inlineStr">
        <is>
          <t>Not run — no source clip (depends on EDIT-08)</t>
        </is>
      </c>
      <c r="U51" s="6" t="inlineStr">
        <is>
          <t>No — already run / retired</t>
        </is>
      </c>
      <c r="V51" s="6" t="inlineStr"/>
      <c r="X51" s="7" t="n"/>
      <c r="Y51" s="7" t="n"/>
    </row>
    <row r="52" ht="150" customHeight="1">
      <c r="A52" s="5" t="n">
        <v>51</v>
      </c>
      <c r="B52" s="6" t="inlineStr">
        <is>
          <t>Available — existing bank</t>
        </is>
      </c>
      <c r="C52" s="6" t="inlineStr">
        <is>
          <t>VID-PHY-01</t>
        </is>
      </c>
      <c r="D52" s="6" t="inlineStr">
        <is>
          <t>Text-to-Video</t>
        </is>
      </c>
      <c r="E52" s="6" t="inlineStr">
        <is>
          <t>Physics &amp; action</t>
        </is>
      </c>
      <c r="F52" s="6" t="inlineStr">
        <is>
          <t>Gaming</t>
        </is>
      </c>
      <c r="G52" s="6" t="inlineStr">
        <is>
          <t>Micro-drama &amp; entertainment, Ads</t>
        </is>
      </c>
      <c r="H52" s="6" t="inlineStr">
        <is>
          <t>Weighted fall</t>
        </is>
      </c>
      <c r="I52" s="6" t="inlineStr">
        <is>
          <t>none</t>
        </is>
      </c>
      <c r="J52" s="6" t="inlineStr">
        <is>
          <t>Gravity and impact realism</t>
        </is>
      </c>
      <c r="K52" s="6" t="inlineStr">
        <is>
          <t>A cast-iron pan falls from a counter onto a tiled floor. It must fall with correct weight, land once, and settle without bouncing unrealistically.</t>
        </is>
      </c>
      <c r="L52" s="6" t="inlineStr">
        <is>
          <t>1) Fall accelerates under gravity  2) Impact is heavy, minimal bounce  3) Pan does not deform  4) Settles in a stable position</t>
        </is>
      </c>
      <c r="M52" s="6" t="inlineStr">
        <is>
          <t>Gravity and impact realism</t>
        </is>
      </c>
      <c r="P52" s="6" t="inlineStr">
        <is>
          <t>—</t>
        </is>
      </c>
      <c r="Q52" s="6" t="inlineStr">
        <is>
          <t>No asset needed</t>
        </is>
      </c>
      <c r="R52" s="6" t="inlineStr">
        <is>
          <t>In the bank</t>
        </is>
      </c>
      <c r="S52" s="6" t="inlineStr">
        <is>
          <t>—</t>
        </is>
      </c>
      <c r="T52" s="6" t="inlineStr">
        <is>
          <t>Pilot run 2026-09-03 (720p) · statistical tie overall; scoped out 2026-09-04</t>
        </is>
      </c>
      <c r="U52" s="6" t="inlineStr">
        <is>
          <t>No — out of scope</t>
        </is>
      </c>
      <c r="V52" s="6" t="inlineStr"/>
      <c r="X52" s="7" t="n"/>
      <c r="Y52" s="7" t="n"/>
    </row>
    <row r="53" ht="150" customHeight="1">
      <c r="A53" s="5" t="n">
        <v>52</v>
      </c>
      <c r="B53" s="6" t="inlineStr">
        <is>
          <t>Available — existing bank</t>
        </is>
      </c>
      <c r="C53" s="6" t="inlineStr">
        <is>
          <t>VID-PHY-02</t>
        </is>
      </c>
      <c r="D53" s="6" t="inlineStr">
        <is>
          <t>Text-to-Video</t>
        </is>
      </c>
      <c r="E53" s="6" t="inlineStr">
        <is>
          <t>Physics &amp; action</t>
        </is>
      </c>
      <c r="F53" s="6" t="inlineStr">
        <is>
          <t>Gaming</t>
        </is>
      </c>
      <c r="G53" s="6" t="inlineStr">
        <is>
          <t>Micro-drama &amp; entertainment, Ads</t>
        </is>
      </c>
      <c r="H53" s="6" t="inlineStr">
        <is>
          <t>Liquid pour</t>
        </is>
      </c>
      <c r="I53" s="6" t="inlineStr">
        <is>
          <t>none</t>
        </is>
      </c>
      <c r="J53" s="6" t="inlineStr">
        <is>
          <t>Fluid behaviour</t>
        </is>
      </c>
      <c r="K53" s="6" t="inlineStr">
        <is>
          <t>Water is poured from a jug into a clear glass until it is about two-thirds full. The stream must be continuous and the level must rise correspondingly.</t>
        </is>
      </c>
      <c r="L53" s="6" t="inlineStr">
        <is>
          <t>1) Continuous stream while pouring  2) Level rises in proportion to what is poured  3) No liquid appearing or vanishing  4) Stops at roughly two-thirds</t>
        </is>
      </c>
      <c r="M53" s="6" t="inlineStr">
        <is>
          <t>Fluid behaviour</t>
        </is>
      </c>
      <c r="P53" s="6" t="inlineStr">
        <is>
          <t>—</t>
        </is>
      </c>
      <c r="Q53" s="6" t="inlineStr">
        <is>
          <t>No asset needed</t>
        </is>
      </c>
      <c r="R53" s="6" t="inlineStr">
        <is>
          <t>In the bank</t>
        </is>
      </c>
      <c r="S53" s="6" t="inlineStr">
        <is>
          <t>—</t>
        </is>
      </c>
      <c r="T53" s="6" t="inlineStr">
        <is>
          <t>Pilot run 2026-09-03 (720p) · statistical tie overall; scoped out 2026-09-04</t>
        </is>
      </c>
      <c r="U53" s="6" t="inlineStr">
        <is>
          <t>No — out of scope</t>
        </is>
      </c>
      <c r="V53" s="6" t="inlineStr"/>
      <c r="X53" s="7" t="n"/>
      <c r="Y53" s="7" t="n"/>
    </row>
    <row r="54" ht="150" customHeight="1">
      <c r="A54" s="5" t="n">
        <v>53</v>
      </c>
      <c r="B54" s="6" t="inlineStr">
        <is>
          <t>Available — existing bank</t>
        </is>
      </c>
      <c r="C54" s="6" t="inlineStr">
        <is>
          <t>VID-PHY-03</t>
        </is>
      </c>
      <c r="D54" s="6" t="inlineStr">
        <is>
          <t>Text-to-Video</t>
        </is>
      </c>
      <c r="E54" s="6" t="inlineStr">
        <is>
          <t>Physics &amp; action</t>
        </is>
      </c>
      <c r="F54" s="6" t="inlineStr">
        <is>
          <t>Gaming</t>
        </is>
      </c>
      <c r="G54" s="6" t="inlineStr">
        <is>
          <t>Micro-drama &amp; entertainment, Ads</t>
        </is>
      </c>
      <c r="H54" s="6" t="inlineStr">
        <is>
          <t>Cloth in wind</t>
        </is>
      </c>
      <c r="I54" s="6" t="inlineStr">
        <is>
          <t>none</t>
        </is>
      </c>
      <c r="J54" s="6" t="inlineStr">
        <is>
          <t>Soft-body dynamics</t>
        </is>
      </c>
      <c r="K54" s="6" t="inlineStr">
        <is>
          <t>A linen curtain moves in a steady breeze at an open window. Movement must be continuous and consistent with a light fabric.</t>
        </is>
      </c>
      <c r="L54" s="6" t="inlineStr">
        <is>
          <t>1) Fabric moves continuously  2) Motion consistent with light cloth, not rigid  3) No clipping through the window frame  4) No tearing or geometry breakage</t>
        </is>
      </c>
      <c r="M54" s="6" t="inlineStr">
        <is>
          <t>Soft-body dynamics</t>
        </is>
      </c>
      <c r="P54" s="6" t="inlineStr">
        <is>
          <t>—</t>
        </is>
      </c>
      <c r="Q54" s="6" t="inlineStr">
        <is>
          <t>No asset needed</t>
        </is>
      </c>
      <c r="R54" s="6" t="inlineStr">
        <is>
          <t>In the bank</t>
        </is>
      </c>
      <c r="S54" s="6" t="inlineStr">
        <is>
          <t>—</t>
        </is>
      </c>
      <c r="T54" s="6" t="inlineStr">
        <is>
          <t>Pilot run 2026-09-03 (720p) · statistical tie overall; scoped out 2026-09-04</t>
        </is>
      </c>
      <c r="U54" s="6" t="inlineStr">
        <is>
          <t>No — out of scope</t>
        </is>
      </c>
      <c r="V54" s="6" t="inlineStr"/>
      <c r="X54" s="7" t="n"/>
      <c r="Y54" s="7" t="n"/>
    </row>
    <row r="55" ht="150" customHeight="1">
      <c r="A55" s="5" t="n">
        <v>54</v>
      </c>
      <c r="B55" s="6" t="inlineStr">
        <is>
          <t>Available — existing bank</t>
        </is>
      </c>
      <c r="C55" s="6" t="inlineStr">
        <is>
          <t>VID-PHY-04</t>
        </is>
      </c>
      <c r="D55" s="6" t="inlineStr">
        <is>
          <t>Text-to-Video</t>
        </is>
      </c>
      <c r="E55" s="6" t="inlineStr">
        <is>
          <t>Physics &amp; action</t>
        </is>
      </c>
      <c r="F55" s="6" t="inlineStr">
        <is>
          <t>Gaming</t>
        </is>
      </c>
      <c r="G55" s="6" t="inlineStr">
        <is>
          <t>Micro-drama &amp; entertainment, Ads</t>
        </is>
      </c>
      <c r="H55" s="6" t="inlineStr">
        <is>
          <t>Collision</t>
        </is>
      </c>
      <c r="I55" s="6" t="inlineStr">
        <is>
          <t>none</t>
        </is>
      </c>
      <c r="J55" s="6" t="inlineStr">
        <is>
          <t>Momentum transfer</t>
        </is>
      </c>
      <c r="K55" s="6" t="inlineStr">
        <is>
          <t>One billiard ball rolls across a table and strikes a second stationary ball. The second ball must move off in a plausible direction and the first must slow.</t>
        </is>
      </c>
      <c r="L55" s="6" t="inlineStr">
        <is>
          <t>1) Contact occurs  2) Second ball moves only after contact  3) Directions consistent with the strike angle  4) First ball decelerates</t>
        </is>
      </c>
      <c r="M55" s="6" t="inlineStr">
        <is>
          <t>Momentum transfer</t>
        </is>
      </c>
      <c r="P55" s="6" t="inlineStr">
        <is>
          <t>—</t>
        </is>
      </c>
      <c r="Q55" s="6" t="inlineStr">
        <is>
          <t>No asset needed</t>
        </is>
      </c>
      <c r="R55" s="6" t="inlineStr">
        <is>
          <t>In the bank</t>
        </is>
      </c>
      <c r="S55" s="6" t="inlineStr">
        <is>
          <t>—</t>
        </is>
      </c>
      <c r="T55" s="6" t="inlineStr">
        <is>
          <t>Pilot run 2026-09-03 (720p) · statistical tie overall; scoped out 2026-09-04</t>
        </is>
      </c>
      <c r="U55" s="6" t="inlineStr">
        <is>
          <t>No — out of scope</t>
        </is>
      </c>
      <c r="V55" s="6" t="inlineStr"/>
      <c r="X55" s="7" t="n"/>
      <c r="Y55" s="7" t="n"/>
    </row>
    <row r="56" ht="150" customHeight="1">
      <c r="A56" s="5" t="n">
        <v>55</v>
      </c>
      <c r="B56" s="6" t="inlineStr">
        <is>
          <t>Available — existing bank</t>
        </is>
      </c>
      <c r="C56" s="6" t="inlineStr">
        <is>
          <t>VID-PHY-05</t>
        </is>
      </c>
      <c r="D56" s="6" t="inlineStr">
        <is>
          <t>Text-to-Video</t>
        </is>
      </c>
      <c r="E56" s="6" t="inlineStr">
        <is>
          <t>Physics &amp; action</t>
        </is>
      </c>
      <c r="F56" s="6" t="inlineStr">
        <is>
          <t>Gaming</t>
        </is>
      </c>
      <c r="G56" s="6" t="inlineStr">
        <is>
          <t>Micro-drama &amp; entertainment, Ads</t>
        </is>
      </c>
      <c r="H56" s="6" t="inlineStr">
        <is>
          <t>Walking gait</t>
        </is>
      </c>
      <c r="I56" s="6" t="inlineStr">
        <is>
          <t>none</t>
        </is>
      </c>
      <c r="J56" s="6" t="inlineStr">
        <is>
          <t>Human locomotion</t>
        </is>
      </c>
      <c r="K56" s="6" t="inlineStr">
        <is>
          <t>A person walks across the frame from left to right at a natural pace. Correct gait, correct foot contact with the ground, no sliding.</t>
        </is>
      </c>
      <c r="L56" s="6" t="inlineStr">
        <is>
          <t>1) Natural walking pace  2) Feet contact the ground without sliding  3) Correct limb count throughout  4) Stride length consistent with speed</t>
        </is>
      </c>
      <c r="M56" s="6" t="inlineStr">
        <is>
          <t>Human locomotion</t>
        </is>
      </c>
      <c r="P56" s="6" t="inlineStr">
        <is>
          <t>—</t>
        </is>
      </c>
      <c r="Q56" s="6" t="inlineStr">
        <is>
          <t>No asset needed</t>
        </is>
      </c>
      <c r="R56" s="6" t="inlineStr">
        <is>
          <t>In the bank</t>
        </is>
      </c>
      <c r="S56" s="6" t="inlineStr">
        <is>
          <t>—</t>
        </is>
      </c>
      <c r="T56" s="6" t="inlineStr">
        <is>
          <t>Pilot run 2026-09-03 (720p) · statistical tie overall; scoped out 2026-09-04</t>
        </is>
      </c>
      <c r="U56" s="6" t="inlineStr">
        <is>
          <t>No — out of scope</t>
        </is>
      </c>
      <c r="V56" s="6" t="inlineStr"/>
      <c r="X56" s="7" t="n"/>
      <c r="Y56" s="7" t="n"/>
    </row>
    <row r="57" ht="150" customHeight="1">
      <c r="A57" s="5" t="n">
        <v>56</v>
      </c>
      <c r="B57" s="6" t="inlineStr">
        <is>
          <t>Available — existing bank</t>
        </is>
      </c>
      <c r="C57" s="6" t="inlineStr">
        <is>
          <t>VID-PHY-06</t>
        </is>
      </c>
      <c r="D57" s="6" t="inlineStr">
        <is>
          <t>Text-to-Video</t>
        </is>
      </c>
      <c r="E57" s="6" t="inlineStr">
        <is>
          <t>Physics &amp; action</t>
        </is>
      </c>
      <c r="F57" s="6" t="inlineStr">
        <is>
          <t>Gaming</t>
        </is>
      </c>
      <c r="G57" s="6" t="inlineStr">
        <is>
          <t>Micro-drama &amp; entertainment, Ads</t>
        </is>
      </c>
      <c r="H57" s="6" t="inlineStr">
        <is>
          <t>Bouncing ball</t>
        </is>
      </c>
      <c r="I57" s="6" t="inlineStr">
        <is>
          <t>none</t>
        </is>
      </c>
      <c r="J57" s="6" t="inlineStr">
        <is>
          <t>Energy decay</t>
        </is>
      </c>
      <c r="K57" s="6" t="inlineStr">
        <is>
          <t>A rubber ball is dropped onto concrete and bounces several times, each bounce lower than the last, until it comes to rest.</t>
        </is>
      </c>
      <c r="L57" s="6" t="inlineStr">
        <is>
          <t>1) Multiple bounces  2) Each bounce lower than the previous  3) Decay looks physically plausible  4) Ball comes to rest</t>
        </is>
      </c>
      <c r="M57" s="6" t="inlineStr">
        <is>
          <t>Energy decay</t>
        </is>
      </c>
      <c r="P57" s="6" t="inlineStr">
        <is>
          <t>—</t>
        </is>
      </c>
      <c r="Q57" s="6" t="inlineStr">
        <is>
          <t>No asset needed</t>
        </is>
      </c>
      <c r="R57" s="6" t="inlineStr">
        <is>
          <t>In the bank</t>
        </is>
      </c>
      <c r="S57" s="6" t="inlineStr">
        <is>
          <t>—</t>
        </is>
      </c>
      <c r="T57" s="6" t="inlineStr">
        <is>
          <t>Pilot run 2026-09-03 (720p) · statistical tie overall; scoped out 2026-09-04</t>
        </is>
      </c>
      <c r="U57" s="6" t="inlineStr">
        <is>
          <t>No — out of scope</t>
        </is>
      </c>
      <c r="V57" s="6" t="inlineStr"/>
      <c r="X57" s="7" t="n"/>
      <c r="Y57" s="7" t="n"/>
    </row>
    <row r="58" ht="150" customHeight="1">
      <c r="A58" s="5" t="n">
        <v>57</v>
      </c>
      <c r="B58" s="6" t="inlineStr">
        <is>
          <t>Available — existing bank</t>
        </is>
      </c>
      <c r="C58" s="6" t="inlineStr">
        <is>
          <t>VID-PHY-07</t>
        </is>
      </c>
      <c r="D58" s="6" t="inlineStr">
        <is>
          <t>Text-to-Video</t>
        </is>
      </c>
      <c r="E58" s="6" t="inlineStr">
        <is>
          <t>Physics &amp; action</t>
        </is>
      </c>
      <c r="F58" s="6" t="inlineStr">
        <is>
          <t>Gaming</t>
        </is>
      </c>
      <c r="G58" s="6" t="inlineStr">
        <is>
          <t>Micro-drama &amp; entertainment, Ads</t>
        </is>
      </c>
      <c r="H58" s="6" t="inlineStr">
        <is>
          <t>Fire and smoke</t>
        </is>
      </c>
      <c r="I58" s="6" t="inlineStr">
        <is>
          <t>none</t>
        </is>
      </c>
      <c r="J58" s="6" t="inlineStr">
        <is>
          <t>Emergent media behaviour</t>
        </is>
      </c>
      <c r="K58" s="6" t="inlineStr">
        <is>
          <t>A candle burns on a table. The flame flickers naturally and a thin wisp of smoke rises from it. Continuous throughout.</t>
        </is>
      </c>
      <c r="L58" s="6" t="inlineStr">
        <is>
          <t>1) Flame present and flickering  2) Smoke rises upward  3) Behaviour continuous, no popping  4) Flame stays attached to the wick</t>
        </is>
      </c>
      <c r="M58" s="6" t="inlineStr">
        <is>
          <t>Emergent media behaviour</t>
        </is>
      </c>
      <c r="P58" s="6" t="inlineStr">
        <is>
          <t>—</t>
        </is>
      </c>
      <c r="Q58" s="6" t="inlineStr">
        <is>
          <t>No asset needed</t>
        </is>
      </c>
      <c r="R58" s="6" t="inlineStr">
        <is>
          <t>In the bank</t>
        </is>
      </c>
      <c r="S58" s="6" t="inlineStr">
        <is>
          <t>—</t>
        </is>
      </c>
      <c r="T58" s="6" t="inlineStr">
        <is>
          <t>Pilot run 2026-09-03 (720p) · statistical tie overall; scoped out 2026-09-04</t>
        </is>
      </c>
      <c r="U58" s="6" t="inlineStr">
        <is>
          <t>No — out of scope</t>
        </is>
      </c>
      <c r="V58" s="6" t="inlineStr"/>
      <c r="X58" s="7" t="n"/>
      <c r="Y58" s="7" t="n"/>
    </row>
    <row r="59" ht="150" customHeight="1">
      <c r="A59" s="5" t="n">
        <v>58</v>
      </c>
      <c r="B59" s="6" t="inlineStr">
        <is>
          <t>Available — existing bank</t>
        </is>
      </c>
      <c r="C59" s="6" t="inlineStr">
        <is>
          <t>VID-PHY-08</t>
        </is>
      </c>
      <c r="D59" s="6" t="inlineStr">
        <is>
          <t>Text-to-Video</t>
        </is>
      </c>
      <c r="E59" s="6" t="inlineStr">
        <is>
          <t>Physics &amp; action</t>
        </is>
      </c>
      <c r="F59" s="6" t="inlineStr">
        <is>
          <t>Gaming</t>
        </is>
      </c>
      <c r="G59" s="6" t="inlineStr">
        <is>
          <t>Micro-drama &amp; entertainment, Ads</t>
        </is>
      </c>
      <c r="H59" s="6" t="inlineStr">
        <is>
          <t>Object permanence</t>
        </is>
      </c>
      <c r="I59" s="6" t="inlineStr">
        <is>
          <t>none</t>
        </is>
      </c>
      <c r="J59" s="6" t="inlineStr">
        <is>
          <t>Occlusion handling</t>
        </is>
      </c>
      <c r="K59" s="6" t="inlineStr">
        <is>
          <t>A person walks behind a pillar and emerges on the other side. They must be the same person, same clothing, moving in the same direction.</t>
        </is>
      </c>
      <c r="L59" s="6" t="inlineStr">
        <is>
          <t>1) Person disappears behind the pillar  2) Re-emerges on the correct side  3) Same identity and clothing  4) Motion direction unchanged</t>
        </is>
      </c>
      <c r="M59" s="6" t="inlineStr">
        <is>
          <t>Occlusion handling</t>
        </is>
      </c>
      <c r="P59" s="6" t="inlineStr">
        <is>
          <t>—</t>
        </is>
      </c>
      <c r="Q59" s="6" t="inlineStr">
        <is>
          <t>No asset needed</t>
        </is>
      </c>
      <c r="R59" s="6" t="inlineStr">
        <is>
          <t>In the bank</t>
        </is>
      </c>
      <c r="S59" s="6" t="inlineStr">
        <is>
          <t>—</t>
        </is>
      </c>
      <c r="T59" s="6" t="inlineStr">
        <is>
          <t>Pilot run 2026-09-03 (720p) · statistical tie overall; scoped out 2026-09-04</t>
        </is>
      </c>
      <c r="U59" s="6" t="inlineStr">
        <is>
          <t>No — out of scope</t>
        </is>
      </c>
      <c r="V59" s="6" t="inlineStr"/>
      <c r="X59" s="7" t="n"/>
      <c r="Y59" s="7" t="n"/>
    </row>
    <row r="60" ht="150" customHeight="1">
      <c r="A60" s="5" t="n">
        <v>59</v>
      </c>
      <c r="B60" s="6" t="inlineStr">
        <is>
          <t>Available — existing bank</t>
        </is>
      </c>
      <c r="C60" s="6" t="inlineStr">
        <is>
          <t>VID-PHY-09</t>
        </is>
      </c>
      <c r="D60" s="6" t="inlineStr">
        <is>
          <t>Text-to-Video</t>
        </is>
      </c>
      <c r="E60" s="6" t="inlineStr">
        <is>
          <t>Physics &amp; action</t>
        </is>
      </c>
      <c r="F60" s="6" t="inlineStr">
        <is>
          <t>Gaming</t>
        </is>
      </c>
      <c r="G60" s="6" t="inlineStr">
        <is>
          <t>Ecommerce &amp; Retail</t>
        </is>
      </c>
      <c r="H60" s="6" t="inlineStr">
        <is>
          <t>Grasp and lift</t>
        </is>
      </c>
      <c r="I60" s="6" t="inlineStr">
        <is>
          <t>none</t>
        </is>
      </c>
      <c r="J60" s="6" t="inlineStr">
        <is>
          <t>Hand-object interaction</t>
        </is>
      </c>
      <c r="K60" s="6" t="inlineStr">
        <is>
          <t>A hand reaches for an apple on a table, grasps it, and lifts it. The grip must be plausible and the apple must move with the hand.</t>
        </is>
      </c>
      <c r="L60" s="6" t="inlineStr">
        <is>
          <t>1) Reach, grasp and lift all occur in order  2) Fingers close around the object  3) Apple moves with the hand, no slipping through  4) Five fingers throughout</t>
        </is>
      </c>
      <c r="M60" s="6" t="inlineStr">
        <is>
          <t>Hand-object interaction</t>
        </is>
      </c>
      <c r="P60" s="6" t="inlineStr">
        <is>
          <t>—</t>
        </is>
      </c>
      <c r="Q60" s="6" t="inlineStr">
        <is>
          <t>No asset needed</t>
        </is>
      </c>
      <c r="R60" s="6" t="inlineStr">
        <is>
          <t>In the bank</t>
        </is>
      </c>
      <c r="S60" s="6" t="inlineStr">
        <is>
          <t>—</t>
        </is>
      </c>
      <c r="T60" s="6" t="inlineStr">
        <is>
          <t>Pilot run 2026-09-03 (720p) · statistical tie overall; scoped out 2026-09-04</t>
        </is>
      </c>
      <c r="U60" s="6" t="inlineStr">
        <is>
          <t>No — out of scope</t>
        </is>
      </c>
      <c r="V60" s="6" t="inlineStr"/>
      <c r="X60" s="7" t="n"/>
      <c r="Y60" s="7" t="n"/>
    </row>
    <row r="61" ht="150" customHeight="1">
      <c r="A61" s="5" t="n">
        <v>60</v>
      </c>
      <c r="B61" s="6" t="inlineStr">
        <is>
          <t>Available — existing bank</t>
        </is>
      </c>
      <c r="C61" s="6" t="inlineStr">
        <is>
          <t>VID-PHY-10</t>
        </is>
      </c>
      <c r="D61" s="6" t="inlineStr">
        <is>
          <t>Text-to-Video</t>
        </is>
      </c>
      <c r="E61" s="6" t="inlineStr">
        <is>
          <t>Physics &amp; action</t>
        </is>
      </c>
      <c r="F61" s="6" t="inlineStr">
        <is>
          <t>Gaming</t>
        </is>
      </c>
      <c r="G61" s="6" t="inlineStr">
        <is>
          <t>Micro-drama &amp; entertainment, Ads</t>
        </is>
      </c>
      <c r="H61" s="6" t="inlineStr">
        <is>
          <t>Wheel rotation</t>
        </is>
      </c>
      <c r="I61" s="6" t="inlineStr">
        <is>
          <t>none</t>
        </is>
      </c>
      <c r="J61" s="6" t="inlineStr">
        <is>
          <t>Rolling-motion consistency</t>
        </is>
      </c>
      <c r="K61" s="6" t="inlineStr">
        <is>
          <t>A bicycle rides past the camera from left to right. Wheel rotation speed must match the forward speed — no sliding, no reversed spin.</t>
        </is>
      </c>
      <c r="L61" s="6" t="inlineStr">
        <is>
          <t>1) Bicycle moves left to right  2) Wheels rotate forward  3) Rotation rate consistent with translation  4) No wheel-slip appearance</t>
        </is>
      </c>
      <c r="M61" s="6" t="inlineStr">
        <is>
          <t>Rolling-motion consistency</t>
        </is>
      </c>
      <c r="P61" s="6" t="inlineStr">
        <is>
          <t>—</t>
        </is>
      </c>
      <c r="Q61" s="6" t="inlineStr">
        <is>
          <t>No asset needed</t>
        </is>
      </c>
      <c r="R61" s="6" t="inlineStr">
        <is>
          <t>In the bank</t>
        </is>
      </c>
      <c r="S61" s="6" t="inlineStr">
        <is>
          <t>—</t>
        </is>
      </c>
      <c r="T61" s="6" t="inlineStr">
        <is>
          <t>Pilot run 2026-09-03 (720p) · statistical tie overall; scoped out 2026-09-04</t>
        </is>
      </c>
      <c r="U61" s="6" t="inlineStr">
        <is>
          <t>No — out of scope</t>
        </is>
      </c>
      <c r="V61" s="6" t="inlineStr"/>
      <c r="X61" s="7" t="n"/>
      <c r="Y61" s="7" t="n"/>
    </row>
    <row r="62" ht="150" customHeight="1">
      <c r="A62" s="5" t="n">
        <v>61</v>
      </c>
      <c r="B62" s="8" t="inlineStr">
        <is>
          <t>New — proposed</t>
        </is>
      </c>
      <c r="C62" s="8" t="inlineStr">
        <is>
          <t>VID-GAME-01</t>
        </is>
      </c>
      <c r="D62" s="8" t="inlineStr">
        <is>
          <t>Video Editing</t>
        </is>
      </c>
      <c r="E62" s="8" t="inlineStr">
        <is>
          <t>Gaming &amp; animation to live action</t>
        </is>
      </c>
      <c r="F62" s="8" t="inlineStr">
        <is>
          <t>Media &amp; Entertainment</t>
        </is>
      </c>
      <c r="G62" s="8" t="inlineStr">
        <is>
          <t>Gaming, Advertising</t>
        </is>
      </c>
      <c r="H62" s="8" t="inlineStr">
        <is>
          <t>Animated characters → live-action actors</t>
        </is>
      </c>
      <c r="I62" s="8" t="inlineStr">
        <is>
          <t>8.0 s continuous shot from Sprite Fright (Blender Studio, 2021), 179–187 s: four stylized characters, one takes a green jar from another; cropped to 16:9, 1080p, audio removed</t>
        </is>
      </c>
      <c r="J62" s="8" t="inlineStr">
        <is>
          <t>Re-render the animation as photographed live action while performance, blocking, props, camera, set and light stay locked</t>
        </is>
      </c>
      <c r="K62" s="8" t="inlineStr">
        <is>
          <t>Re-render this animated clip as live-action film footage shot on a cinema camera. Each cartoon character becomes a real young adult actor with the same hairstyle, hair colour, clothing, accessories and build. Keep every movement and its timing exactly as it is — including the young man in the cricket sweater taking the green jar and turning it in his hands — along with the camera movement, the forest background and the warm evening light. No cuts.</t>
        </is>
      </c>
      <c r="L62" s="8" t="inlineStr">
        <is>
          <t>1) Photoreal skin, hair, fabric and glass — no cartoon proportions or shading left  2) Characters map one-to-one: tall orange-and-yellow hair + pink top; black ponytail + notepad + hoop earrings; blond in white cable-knit cricket sweater over blue polo + gold watch; red hair, freckles, navy Union Jack T-shirt  3) The red-haired actor holds the jar first, the blond actor takes it and turns it, same timing  4) Positions unchanged, including the ponytail actor passing behind the blond actor's arm  5) Same slow camera push-in  6) Forest background and warm light direction kept  7) No face drift or identity swaps</t>
        </is>
      </c>
      <c r="M62" s="8" t="inlineStr">
        <is>
          <t>Cross-domain re-rendering with performance lock; multi-character identity mapping; temporal consistency of newly synthesised faces</t>
        </is>
      </c>
      <c r="N62" s="8" t="inlineStr">
        <is>
          <t>Studios turn animatics and cinematics into live-action pitch reels and trailers</t>
        </is>
      </c>
      <c r="O62" s="8" t="inlineStr">
        <is>
          <t>Earlier edits changed one local attribute of real footage; none re-rendered a whole shot into another visual domain</t>
        </is>
      </c>
      <c r="P62" s="8" t="inlineStr">
        <is>
          <t>https://commons.wikimedia.org/wiki/File:Sprite_Fright_-_Blender_Open_Movie-full_movie.webm</t>
        </is>
      </c>
      <c r="Q62" s="8" t="inlineStr">
        <is>
          <t>CC BY 4.0 — Blender Foundation</t>
        </is>
      </c>
      <c r="R62" s="8" t="inlineStr">
        <is>
          <t>Ready — downloaded &amp; prepared in assets/bank</t>
        </is>
      </c>
      <c r="S62" s="8" t="inlineStr">
        <is>
          <t>—</t>
        </is>
      </c>
      <c r="T62" s="8" t="inlineStr">
        <is>
          <t>Not run — proposed 2026-09-14</t>
        </is>
      </c>
      <c r="U62" s="8" t="inlineStr">
        <is>
          <t>Yes — pending your review</t>
        </is>
      </c>
      <c r="V62" s="8" t="inlineStr">
        <is>
          <t>Seedance face filter on cartoon faces: 1-cell probe first. 'Young adult' wording avoids photoreal minors.</t>
        </is>
      </c>
      <c r="W62" s="9">
        <f>IF(D62="Video Editing",Assumptions!$B$2+Assumptions!$B$3,IF(D62="Image-to-Video",Assumptions!$B$4+Assumptions!$B$5,""))</f>
        <v/>
      </c>
      <c r="X62" s="7" t="n"/>
      <c r="Y62" s="7" t="n"/>
    </row>
    <row r="63" ht="150" customHeight="1">
      <c r="A63" s="5" t="n">
        <v>62</v>
      </c>
      <c r="B63" s="8" t="inlineStr">
        <is>
          <t>New — proposed</t>
        </is>
      </c>
      <c r="C63" s="8" t="inlineStr">
        <is>
          <t>VID-GAME-02</t>
        </is>
      </c>
      <c r="D63" s="8" t="inlineStr">
        <is>
          <t>Video Editing</t>
        </is>
      </c>
      <c r="E63" s="8" t="inlineStr">
        <is>
          <t>Gaming &amp; animation to live action</t>
        </is>
      </c>
      <c r="F63" s="8" t="inlineStr">
        <is>
          <t>Gaming</t>
        </is>
      </c>
      <c r="G63" s="8" t="inlineStr">
        <is>
          <t>Motorsport, Esports</t>
        </is>
      </c>
      <c r="H63" s="8" t="inlineStr">
        <is>
          <t>Kart race gameplay → live-action karting</t>
        </is>
      </c>
      <c r="I63" s="8" t="inlineStr">
        <is>
          <t>6.0 s SuperTuxKart chase-cam clip (2150.5–2156.5 s of a CC BY Grand Prix recording): four karts, one passes on the right, long left-hand sweeper, full game HUD; 1080p30, audio removed</t>
        </is>
      </c>
      <c r="J63" s="8" t="inlineStr">
        <is>
          <t>Turn gameplay into a real outdoor go-kart race; karts keep their colours, drivers become helmeted racers, HUD removed; positions, motion, track and chase camera kept</t>
        </is>
      </c>
      <c r="K63" s="8" t="inlineStr">
        <is>
          <t>Turn this racing-game clip into real footage of a go-kart race on an outdoor circuit, filmed from a chase camera. Each kart becomes a real racing kart in the same colours, with a helmeted driver in a matching race suit. Remove the entire on-screen game interface. Keep the number of karts, where each one is on the track and how they move — including the pink-and-white kart passing on the right at the start — plus the shape of the track, the red-and-white kerbs, the grandstands and pylons, and the chase-camera movement exactly as in the clip.</t>
        </is>
      </c>
      <c r="L63" s="8" t="inlineStr">
        <is>
          <t>1) Photoreal karts, drivers, tarmac, grass  2) Same karts and colours: dark red/white player kart centre, pink/white kart passing right, cyan kart ahead, white kart far ahead  3) Pink kart passes on the right within the first second  4) HUD fully removed with clean background: timer, 3/3 lap counter, speed dial, minimap, touch buttons, racer column, item icon  5) Same left-hand sweeper, kerbs, grandstands, lattice pylon  6) Same camera path and horizon tilt  7) No fantasy effects added  8) Wheel spin matches speed</t>
        </is>
      </c>
      <c r="M63" s="8" t="inlineStr">
        <is>
          <t>Multi-object identity and relative motion through a domain change; overlay removal</t>
        </is>
      </c>
      <c r="N63" s="8" t="inlineStr">
        <is>
          <t>'Game vs reality' marketing, karting and esports promos</t>
        </is>
      </c>
      <c r="O63" s="8" t="inlineStr">
        <is>
          <t>First multi-agent motion scenario and first HUD removal; PHY-10 tested wheels on a single text-to-video bicycle</t>
        </is>
      </c>
      <c r="P63" s="8" t="inlineStr">
        <is>
          <t>https://commons.wikimedia.org/wiki/File:SuperTuxKart_2.x_GP_with_24%25_handicap_and_road_tracks_(open_source_Mario_Kart-like_Linux_game).webm</t>
        </is>
      </c>
      <c r="Q63" s="8" t="inlineStr">
        <is>
          <t>CC BY 3.0 — kimden STK</t>
        </is>
      </c>
      <c r="R63" s="8" t="inlineStr">
        <is>
          <t>Ready — downloaded &amp; prepared in assets/bank</t>
        </is>
      </c>
      <c r="S63" s="8" t="inlineStr">
        <is>
          <t>—</t>
        </is>
      </c>
      <c r="T63" s="8" t="inlineStr">
        <is>
          <t>Not run — proposed 2026-09-14</t>
        </is>
      </c>
      <c r="U63" s="8" t="inlineStr">
        <is>
          <t>Yes — pending your review</t>
        </is>
      </c>
      <c r="V63" s="8" t="inlineStr">
        <is>
          <t>Only one pass in the clip; a small item-box puff in the last frames is not scored.</t>
        </is>
      </c>
      <c r="W63" s="9">
        <f>IF(D63="Video Editing",Assumptions!$B$2+Assumptions!$B$3,IF(D63="Image-to-Video",Assumptions!$B$4+Assumptions!$B$5,""))</f>
        <v/>
      </c>
      <c r="X63" s="7" t="n"/>
      <c r="Y63" s="7" t="n"/>
    </row>
    <row r="64" ht="150" customHeight="1">
      <c r="A64" s="5" t="n">
        <v>63</v>
      </c>
      <c r="B64" s="8" t="inlineStr">
        <is>
          <t>New — proposed</t>
        </is>
      </c>
      <c r="C64" s="8" t="inlineStr">
        <is>
          <t>VID-GAME-03</t>
        </is>
      </c>
      <c r="D64" s="8" t="inlineStr">
        <is>
          <t>Video Editing</t>
        </is>
      </c>
      <c r="E64" s="8" t="inlineStr">
        <is>
          <t>Gaming &amp; animation to live action</t>
        </is>
      </c>
      <c r="F64" s="8" t="inlineStr">
        <is>
          <t>Gaming</t>
        </is>
      </c>
      <c r="G64" s="8" t="inlineStr">
        <is>
          <t>Esports marketing, Streaming</t>
        </is>
      </c>
      <c r="H64" s="8" t="inlineStr">
        <is>
          <t>Remove the game HUD only, keep the game look</t>
        </is>
      </c>
      <c r="I64" s="8" t="inlineStr">
        <is>
          <t>Same 6.0 s SuperTuxKart clip as VID-GAME-02 (isolates removal from realism)</t>
        </is>
      </c>
      <c r="J64" s="8" t="inlineStr">
        <is>
          <t>Remove all seven on-screen interface elements and rebuild what is behind them; nothing else changes</t>
        </is>
      </c>
      <c r="K64" s="8" t="inlineStr">
        <is>
          <t>Remove every on-screen game interface element from this gameplay clip — the timer, lap counter, speed dial, minimap, touch buttons, racer list and item icon — and fill in the track, sky and scenery behind them. Change nothing else: the game graphics, karts, driving and camera must stay exactly as they are.</t>
        </is>
      </c>
      <c r="L64" s="8" t="inlineStr">
        <is>
          <t>1) All seven HUD elements gone in every frame  2) Filled areas match the moving background — no smears or ghost outlines  3) Game art style unchanged, no realism added  4) Karts, motion and camera identical to the source  5) No flicker where the HUD was</t>
        </is>
      </c>
      <c r="M64" s="8" t="inlineStr">
        <is>
          <t>Removal of screen-space overlays over a fast-moving 3D scene (clean-plate reconstruction)</t>
        </is>
      </c>
      <c r="N64" s="8" t="inlineStr">
        <is>
          <t>Trailer and highlight editors need HUD-free gameplay</t>
        </is>
      </c>
      <c r="O64" s="8" t="inlineStr">
        <is>
          <t>EDIT-02 removed one static object; here seven overlays sit over a moving scene. Pairs with GAME-02 to separate removal from realism</t>
        </is>
      </c>
      <c r="P64" s="8" t="inlineStr">
        <is>
          <t>(same as VID-GAME-02)</t>
        </is>
      </c>
      <c r="Q64" s="8" t="inlineStr">
        <is>
          <t>CC BY 3.0 — kimden STK</t>
        </is>
      </c>
      <c r="R64" s="8" t="inlineStr">
        <is>
          <t>Ready — downloaded &amp; prepared in assets/bank</t>
        </is>
      </c>
      <c r="S64" s="8" t="inlineStr">
        <is>
          <t>Source clip itself (unchanged regions must match pixel-for-pixel)</t>
        </is>
      </c>
      <c r="T64" s="8" t="inlineStr">
        <is>
          <t>Not run — proposed 2026-09-14</t>
        </is>
      </c>
      <c r="U64" s="8" t="inlineStr">
        <is>
          <t>Yes — pending your review</t>
        </is>
      </c>
      <c r="V64" s="8" t="inlineStr">
        <is>
          <t>—</t>
        </is>
      </c>
      <c r="W64" s="9">
        <f>IF(D64="Video Editing",Assumptions!$B$2+Assumptions!$B$3,IF(D64="Image-to-Video",Assumptions!$B$4+Assumptions!$B$5,""))</f>
        <v/>
      </c>
      <c r="X64" s="7" t="n"/>
      <c r="Y64" s="7" t="n"/>
    </row>
    <row r="65" ht="150" customHeight="1">
      <c r="A65" s="5" t="n">
        <v>64</v>
      </c>
      <c r="B65" s="8" t="inlineStr">
        <is>
          <t>New — proposed</t>
        </is>
      </c>
      <c r="C65" s="8" t="inlineStr">
        <is>
          <t>VID-GAME-04</t>
        </is>
      </c>
      <c r="D65" s="8" t="inlineStr">
        <is>
          <t>Video Editing</t>
        </is>
      </c>
      <c r="E65" s="8" t="inlineStr">
        <is>
          <t>Gaming &amp; animation to live action</t>
        </is>
      </c>
      <c r="F65" s="8" t="inlineStr">
        <is>
          <t>Automotive</t>
        </is>
      </c>
      <c r="G65" s="8" t="inlineStr">
        <is>
          <t>Gaming, Motorsport</t>
        </is>
      </c>
      <c r="H65" s="8" t="inlineStr">
        <is>
          <t>Sim-racing replay → cinematic car commercial</t>
        </is>
      </c>
      <c r="I65" s="8" t="inlineStr">
        <is>
          <t>6–8 s replay/chase view of one Supercars-class car with a full livery taking a corner in Speed Dreams, recorded at 1080p, HUD off</t>
        </is>
      </c>
      <c r="J65" s="8" t="inlineStr">
        <is>
          <t>Lift game-quality rendering to a photographed car commercial; car design, livery, path, body movement and camera stay exact</t>
        </is>
      </c>
      <c r="K65" s="8" t="inlineStr">
        <is>
          <t>Make this racing-game replay look like a high-end car commercial filmed on a real circuit. Keep the car's body shape, wheels and every part of its livery exactly as they are, and keep its path, speed and body movement through the corner unchanged. Keep the same camera movement and the same layout of the track, kerbs and barriers. Real reflections, tyre detail and motion blur.</t>
        </is>
      </c>
      <c r="L65" s="8" t="inlineStr">
        <is>
          <t>1) Photoreal  2) Silhouette and proportions match  3) Livery colours, stripes and numbers stable, no morphing  4) Same path and speed profile  5) Plausible body roll and pitch  6) Same camera path  7) Track features kept  8) Reflections consistent over time</t>
        </is>
      </c>
      <c r="M65" s="8" t="inlineStr">
        <is>
          <t>Fine design identity under material and lighting uplift; vehicle dynamics; reflection consistency</t>
        </is>
      </c>
      <c r="N65" s="8" t="inlineStr">
        <is>
          <t>Racing-game 'in-engine to cinematic' trailers; automotive previs</t>
        </is>
      </c>
      <c r="O65" s="8" t="inlineStr">
        <is>
          <t>GAME-02 is a stylized pack race needing identity mapping; this is one realistic hero car judged on livery and reflection fidelity</t>
        </is>
      </c>
      <c r="P65" s="8" t="inlineStr">
        <is>
          <t>https://speed-dreams.net/en (capture on this Mac)</t>
        </is>
      </c>
      <c r="Q65" s="8" t="inlineStr">
        <is>
          <t>GPL-2.0+ code, Free Art Licence art</t>
        </is>
      </c>
      <c r="R65" s="8" t="inlineStr">
        <is>
          <t>NO downloadable source — needs capture / render / shoot</t>
        </is>
      </c>
      <c r="S65" s="8" t="inlineStr">
        <is>
          <t>—</t>
        </is>
      </c>
      <c r="T65" s="8" t="inlineStr">
        <is>
          <t>Not run — proposed 2026-09-14</t>
        </is>
      </c>
      <c r="U65" s="8" t="inlineStr">
        <is>
          <t>Yes — pending your review</t>
        </is>
      </c>
      <c r="V65" s="8" t="inlineStr">
        <is>
          <t>Needs the game installed and a 20-minute capture session.</t>
        </is>
      </c>
      <c r="W65" s="9">
        <f>IF(D65="Video Editing",Assumptions!$B$2+Assumptions!$B$3,IF(D65="Image-to-Video",Assumptions!$B$4+Assumptions!$B$5,""))</f>
        <v/>
      </c>
      <c r="X65" s="7" t="n"/>
      <c r="Y65" s="7" t="n"/>
    </row>
    <row r="66" ht="150" customHeight="1">
      <c r="A66" s="5" t="n">
        <v>65</v>
      </c>
      <c r="B66" s="8" t="inlineStr">
        <is>
          <t>New — proposed</t>
        </is>
      </c>
      <c r="C66" s="8" t="inlineStr">
        <is>
          <t>VID-GAME-05</t>
        </is>
      </c>
      <c r="D66" s="8" t="inlineStr">
        <is>
          <t>Image-to-Video</t>
        </is>
      </c>
      <c r="E66" s="8" t="inlineStr">
        <is>
          <t>Gaming &amp; animation to live action</t>
        </is>
      </c>
      <c r="F66" s="8" t="inlineStr">
        <is>
          <t>Gaming</t>
        </is>
      </c>
      <c r="G66" s="8" t="inlineStr">
        <is>
          <t>Film, Costume design</t>
        </is>
      </c>
      <c r="H66" s="8" t="inlineStr">
        <is>
          <t>Game character render → live-action performer</t>
        </is>
      </c>
      <c r="I66" s="8" t="inlineStr">
        <is>
          <t>Front full-body render of an armoured Mixamo game character (e.g. 'Paladin J Nordstrom'), plain background, 1080p</t>
        </is>
      </c>
      <c r="J66" s="8" t="inlineStr">
        <is>
          <t>Bring the game design to life as a real actor in a practical costume walking through a real location</t>
        </is>
      </c>
      <c r="K66" s="8" t="inlineStr">
        <is>
          <t>Bring this game character to life as a real actor in a practical costume, walking towards the camera through a stone castle courtyard in overcast daylight. The armour's shape, colours, emblems and weapon must match the character exactly. Natural walking motion, feet in contact with the ground.</t>
        </is>
      </c>
      <c r="L66" s="8" t="inlineStr">
        <is>
          <t>1) Photoreal metal, leather, cloth  2) Armour pieces, colour blocks, emblem positions and weapon hand match the render  3) Natural gait, no foot sliding  4) Costume consistent as the body turns  5) Courtyard and daylight as described</t>
        </is>
      </c>
      <c r="M66" s="8" t="inlineStr">
        <is>
          <t>Concept-to-real identity translation; material realism; body motion</t>
        </is>
      </c>
      <c r="N66" s="8" t="inlineStr">
        <is>
          <t>Live-action game trailers; costume and casting previs</t>
        </is>
      </c>
      <c r="O66" s="8" t="inlineStr">
        <is>
          <t>VID-I2V-04 kept a realistic character realistic; here a game design must become a real person</t>
        </is>
      </c>
      <c r="P66" s="8" t="inlineStr">
        <is>
          <t>https://www.mixamo.com (renders by us; raw character files never redistributed)</t>
        </is>
      </c>
      <c r="Q66" s="8" t="inlineStr">
        <is>
          <t>Mixamo — royalty-free use in projects</t>
        </is>
      </c>
      <c r="R66" s="8" t="inlineStr">
        <is>
          <t>NO downloadable source — needs capture / render / shoot</t>
        </is>
      </c>
      <c r="S66" s="8" t="inlineStr">
        <is>
          <t>—</t>
        </is>
      </c>
      <c r="T66" s="8" t="inlineStr">
        <is>
          <t>Not run — proposed 2026-09-14</t>
        </is>
      </c>
      <c r="U66" s="8" t="inlineStr">
        <is>
          <t>Yes — pending your review</t>
        </is>
      </c>
      <c r="V66" s="8" t="inlineStr">
        <is>
          <t>Needs your Adobe login to pick the character; shares renders with VID-CAM-02.</t>
        </is>
      </c>
      <c r="W66" s="9">
        <f>IF(D66="Video Editing",Assumptions!$B$2+Assumptions!$B$3,IF(D66="Image-to-Video",Assumptions!$B$4+Assumptions!$B$5,""))</f>
        <v/>
      </c>
      <c r="X66" s="7" t="n"/>
      <c r="Y66" s="7" t="n"/>
    </row>
    <row r="67" ht="150" customHeight="1">
      <c r="A67" s="5" t="n">
        <v>66</v>
      </c>
      <c r="B67" s="8" t="inlineStr">
        <is>
          <t>New — proposed</t>
        </is>
      </c>
      <c r="C67" s="8" t="inlineStr">
        <is>
          <t>VID-GAME-06</t>
        </is>
      </c>
      <c r="D67" s="8" t="inlineStr">
        <is>
          <t>Image-to-Video</t>
        </is>
      </c>
      <c r="E67" s="8" t="inlineStr">
        <is>
          <t>Gaming &amp; animation to live action</t>
        </is>
      </c>
      <c r="F67" s="8" t="inlineStr">
        <is>
          <t>Gaming</t>
        </is>
      </c>
      <c r="G67" s="8" t="inlineStr">
        <is>
          <t>Film previs, Concept art</t>
        </is>
      </c>
      <c r="H67" s="8" t="inlineStr">
        <is>
          <t>Game environment concept still → cinematic fly-in</t>
        </is>
      </c>
      <c r="I67" s="8" t="inlineStr">
        <is>
          <t>Still frame at 27 s of Charge (Blender Studio, 2022): an overcast valley with a giant rock mesa above a ruined settlement; cropped to 16:9</t>
        </is>
      </c>
      <c r="J67" s="8" t="inlineStr">
        <is>
          <t>Fly the camera into the concept environment, revealing more of it, with art direction and layout kept</t>
        </is>
      </c>
      <c r="K67" s="8" t="inlineStr">
        <is>
          <t>Starting exactly from this image, the camera flies slowly forward and descends into the valley towards the buildings beneath the giant rock formation, revealing more of the settlement as it gets closer. Keep the same art direction, colour palette, fog and overcast light, and keep the rock formation and buildings in the same places.</t>
        </is>
      </c>
      <c r="L67" s="8" t="inlineStr">
        <is>
          <t>1) First frame = input  2) One continuous forward, descending flight  3) Scale consistent — buildings grow correctly relative to the rock  4) Layout kept: mesa, buildings and ridgelines in place  5) Revealed detail matches the art direction — no style drift, no out-of-world objects  6) Atmospheric perspective consistent</t>
        </is>
      </c>
      <c r="M67" s="8" t="inlineStr">
        <is>
          <t>Large-scale environment traversal from concept art; scale and art-direction continuity</t>
        </is>
      </c>
      <c r="N67" s="8" t="inlineStr">
        <is>
          <t>Studios turn concept art into previs flythroughs for pitches and trailers</t>
        </is>
      </c>
      <c r="O67" s="8" t="inlineStr">
        <is>
          <t>VID-I2V-06 was a sideways parallax pan on a photo; this is a deep fly-in into stylized concept art that must invent consistent detail</t>
        </is>
      </c>
      <c r="P67" s="8" t="inlineStr">
        <is>
          <t>https://commons.wikimedia.org/wiki/File:Charge_-_Blender_Open_Movie-full_movie.webm</t>
        </is>
      </c>
      <c r="Q67" s="8" t="inlineStr">
        <is>
          <t>CC BY 4.0 — Blender Foundation</t>
        </is>
      </c>
      <c r="R67" s="8" t="inlineStr">
        <is>
          <t>Downloaded &amp; verified — input to prepare</t>
        </is>
      </c>
      <c r="S67" s="8" t="inlineStr">
        <is>
          <t>—</t>
        </is>
      </c>
      <c r="T67" s="8" t="inlineStr">
        <is>
          <t>Not run — proposed 2026-09-14</t>
        </is>
      </c>
      <c r="U67" s="8" t="inlineStr">
        <is>
          <t>Yes — pending your review</t>
        </is>
      </c>
      <c r="V67" s="8" t="inlineStr">
        <is>
          <t>—</t>
        </is>
      </c>
      <c r="W67" s="9">
        <f>IF(D67="Video Editing",Assumptions!$B$2+Assumptions!$B$3,IF(D67="Image-to-Video",Assumptions!$B$4+Assumptions!$B$5,""))</f>
        <v/>
      </c>
      <c r="X67" s="7" t="n"/>
      <c r="Y67" s="7" t="n"/>
    </row>
    <row r="68" ht="150" customHeight="1">
      <c r="A68" s="5" t="n">
        <v>67</v>
      </c>
      <c r="B68" s="8" t="inlineStr">
        <is>
          <t>New — proposed</t>
        </is>
      </c>
      <c r="C68" s="8" t="inlineStr">
        <is>
          <t>VID-GAME-07</t>
        </is>
      </c>
      <c r="D68" s="8" t="inlineStr">
        <is>
          <t>Image-to-Video</t>
        </is>
      </c>
      <c r="E68" s="8" t="inlineStr">
        <is>
          <t>Gaming &amp; animation to live action</t>
        </is>
      </c>
      <c r="F68" s="8" t="inlineStr">
        <is>
          <t>Gaming</t>
        </is>
      </c>
      <c r="G68" s="8" t="inlineStr">
        <is>
          <t>App store marketing</t>
        </is>
      </c>
      <c r="H68" s="8" t="inlineStr">
        <is>
          <t>Gameplay screenshot → live gameplay with a fixed, legible HUD</t>
        </is>
      </c>
      <c r="I68" s="8" t="inlineStr">
        <is>
          <t>One 1080p frame from the SuperTuxKart recording with the full game HUD</t>
        </is>
      </c>
      <c r="J68" s="8" t="inlineStr">
        <is>
          <t>Animate the scene as gameplay while the screen-space interface stays locked and readable</t>
        </is>
      </c>
      <c r="K68" s="8" t="inlineStr">
        <is>
          <t>Bring this racing-game screenshot to life as gameplay: the karts race forward along the track and the camera follows the player's kart. The on-screen interface — timer, lap counter, speed dial, minimap and buttons — must stay fixed in place, sharp and readable, and the game's art style must not change.</t>
        </is>
      </c>
      <c r="L68" s="8" t="inlineStr">
        <is>
          <t>1) First frame = input  2) Karts move forward plausibly; camera follows  3) HUD elements stay fixed in position; numbers may update plausibly but never warp or melt  4) Art style unchanged  5) Track continues consistently (kerbs, grandstands)</t>
        </is>
      </c>
      <c r="M68" s="8" t="inlineStr">
        <is>
          <t>Separating a fixed UI layer from a moving 3D scene; style preservation</t>
        </is>
      </c>
      <c r="N68" s="8" t="inlineStr">
        <is>
          <t>Store-page and social trailers built from screenshots</t>
        </is>
      </c>
      <c r="O68" s="8" t="inlineStr">
        <is>
          <t>AD-09 kept in-scene sign text readable during a camera move; here a screen-space layer must not move at all while the scene does</t>
        </is>
      </c>
      <c r="P68" s="8" t="inlineStr">
        <is>
          <t>(frame from the VID-GAME-02 recording)</t>
        </is>
      </c>
      <c r="Q68" s="8" t="inlineStr">
        <is>
          <t>CC BY 3.0 — kimden STK</t>
        </is>
      </c>
      <c r="R68" s="8" t="inlineStr">
        <is>
          <t>Downloaded &amp; verified — input to prepare</t>
        </is>
      </c>
      <c r="S68" s="8" t="inlineStr">
        <is>
          <t>—</t>
        </is>
      </c>
      <c r="T68" s="8" t="inlineStr">
        <is>
          <t>Not run — proposed 2026-09-14</t>
        </is>
      </c>
      <c r="U68" s="8" t="inlineStr">
        <is>
          <t>Yes — pending your review</t>
        </is>
      </c>
      <c r="V68" s="8" t="inlineStr">
        <is>
          <t>—</t>
        </is>
      </c>
      <c r="W68" s="9">
        <f>IF(D68="Video Editing",Assumptions!$B$2+Assumptions!$B$3,IF(D68="Image-to-Video",Assumptions!$B$4+Assumptions!$B$5,""))</f>
        <v/>
      </c>
      <c r="X68" s="7" t="n"/>
      <c r="Y68" s="7" t="n"/>
    </row>
    <row r="69" ht="150" customHeight="1">
      <c r="A69" s="5" t="n">
        <v>68</v>
      </c>
      <c r="B69" s="8" t="inlineStr">
        <is>
          <t>New — proposed</t>
        </is>
      </c>
      <c r="C69" s="8" t="inlineStr">
        <is>
          <t>VID-CAM-01</t>
        </is>
      </c>
      <c r="D69" s="8" t="inlineStr">
        <is>
          <t>Image-to-Video</t>
        </is>
      </c>
      <c r="E69" s="8" t="inlineStr">
        <is>
          <t>Camera &amp; viewpoint</t>
        </is>
      </c>
      <c r="F69" s="8" t="inlineStr">
        <is>
          <t>Automotive</t>
        </is>
      </c>
      <c r="G69" s="8" t="inlineStr">
        <is>
          <t>Fleet, Classifieds</t>
        </is>
      </c>
      <c r="H69" s="8" t="inlineStr">
        <is>
          <t>Vehicle orbit front ¾ → side, scored against a real photo</t>
        </is>
      </c>
      <c r="I69" s="8" t="inlineStr">
        <is>
          <t>Real 1920x1080 photo of a vintage flatbed truck, front three-quarter (Tanks and Temples 'Truck' frame 000053)</t>
        </is>
      </c>
      <c r="J69" s="8" t="inlineStr">
        <is>
          <t>Orbit the camera about 55° around the parked truck to a true side profile</t>
        </is>
      </c>
      <c r="K69" s="8" t="inlineStr">
        <is>
          <t>Starting exactly from this photo, the camera moves in a smooth arc around the parked truck at the same height and distance, and ends looking straight at its side. The truck and everything around it stay completely still.</t>
        </is>
      </c>
      <c r="L69" s="8" t="inlineStr">
        <is>
          <t>1) First frame = input  2) Continuous arc, no cut or morph  3) Last frame matches the real side photo: 'San Pedro Square Market' emblem on the door, wheel positions, horizontal wooden slats, cab proportions, mirror, step  4) Truck rigid  5) Background parallax consistent (building front, patio furniture, yellow umbrella)  6) Shadows fixed</t>
        </is>
      </c>
      <c r="M69" s="8" t="inlineStr">
        <is>
          <t>3D understanding from one view; rigid geometry; unseen side checked against reality</t>
        </is>
      </c>
      <c r="N69" s="8" t="inlineStr">
        <is>
          <t>Vehicle listings and fleet marketing from a single photo</t>
        </is>
      </c>
      <c r="O69" s="8" t="inlineStr">
        <is>
          <t>AD-01 and I2V-05 spin a product on a pedestal; here the camera moves through a real scene and the result is compared with a real photograph</t>
        </is>
      </c>
      <c r="P69" s="8" t="inlineStr">
        <is>
          <t>https://www.tanksandtemples.org/download/ (Truck.zip)</t>
        </is>
      </c>
      <c r="Q69" s="8" t="inlineStr">
        <is>
          <t>CC BY 4.0 — Tanks and Temples</t>
        </is>
      </c>
      <c r="R69" s="8" t="inlineStr">
        <is>
          <t>Ready — downloaded &amp; prepared in assets/bank</t>
        </is>
      </c>
      <c r="S69" s="8" t="inlineStr">
        <is>
          <t>assets/bank/VID-CAM-01-ground_truth.jpg (real frame 000043, judge only)</t>
        </is>
      </c>
      <c r="T69" s="8" t="inlineStr">
        <is>
          <t>Not run — proposed 2026-09-14</t>
        </is>
      </c>
      <c r="U69" s="8" t="inlineStr">
        <is>
          <t>Yes — pending your review</t>
        </is>
      </c>
      <c r="V69" s="8" t="inlineStr">
        <is>
          <t>Neither photo shows the whole truck; checks cover the overlap. Needs judge-only input in the runner.</t>
        </is>
      </c>
      <c r="W69" s="9">
        <f>IF(D69="Video Editing",Assumptions!$B$2+Assumptions!$B$3,IF(D69="Image-to-Video",Assumptions!$B$4+Assumptions!$B$5,""))</f>
        <v/>
      </c>
      <c r="X69" s="7" t="n"/>
      <c r="Y69" s="7" t="n"/>
    </row>
    <row r="70" ht="150" customHeight="1">
      <c r="A70" s="5" t="n">
        <v>69</v>
      </c>
      <c r="B70" s="8" t="inlineStr">
        <is>
          <t>New — proposed</t>
        </is>
      </c>
      <c r="C70" s="8" t="inlineStr">
        <is>
          <t>VID-CAM-02</t>
        </is>
      </c>
      <c r="D70" s="8" t="inlineStr">
        <is>
          <t>Image-to-Video</t>
        </is>
      </c>
      <c r="E70" s="8" t="inlineStr">
        <is>
          <t>Camera &amp; viewpoint</t>
        </is>
      </c>
      <c r="F70" s="8" t="inlineStr">
        <is>
          <t>Gaming</t>
        </is>
      </c>
      <c r="G70" s="8" t="inlineStr">
        <is>
          <t>Merchandise, Asset stores</t>
        </is>
      </c>
      <c r="H70" s="8" t="inlineStr">
        <is>
          <t>Character turnaround front → back, scored against the real render</t>
        </is>
      </c>
      <c r="I70" s="8" t="inlineStr">
        <is>
          <t>Front render of the VID-GAME-05 character</t>
        </is>
      </c>
      <c r="J70" s="8" t="inlineStr">
        <is>
          <t>Orbit 180° to directly behind a still character, art style unchanged</t>
        </is>
      </c>
      <c r="K70" s="8" t="inlineStr">
        <is>
          <t>Starting exactly from this image, the camera circles halfway around the character at the same height and distance, ending directly behind them. The character holds the same pose and does not move. Keep the same art style and lighting.</t>
        </is>
      </c>
      <c r="L70" s="8" t="inlineStr">
        <is>
          <t>1) First frame = input  2) Continuous 180° orbit  3) Back view matches the real back render (armour, cape, weapon placement, hair, belt)  4) Pose static  5) No mirror flip — shield and weapon stay on their correct sides  6) Style unchanged</t>
        </is>
      </c>
      <c r="M70" s="8" t="inlineStr">
        <is>
          <t>Fully hidden side synthesis checked against truth; left/right consistency</t>
        </is>
      </c>
      <c r="N70" s="8" t="inlineStr">
        <is>
          <t>Character turntables for game store pages and showcases</t>
        </is>
      </c>
      <c r="O70" s="8" t="inlineStr">
        <is>
          <t>CAM-01 is a rigid vehicle at 55°; this is an asymmetric figure at 180° with left/right handedness</t>
        </is>
      </c>
      <c r="P70" s="8" t="inlineStr">
        <is>
          <t>https://www.mixamo.com (renders by us)</t>
        </is>
      </c>
      <c r="Q70" s="8" t="inlineStr">
        <is>
          <t>Mixamo — royalty-free use in projects</t>
        </is>
      </c>
      <c r="R70" s="8" t="inlineStr">
        <is>
          <t>NO downloadable source — needs capture / render / shoot</t>
        </is>
      </c>
      <c r="S70" s="8" t="inlineStr">
        <is>
          <t>Back render of the same model (judge only)</t>
        </is>
      </c>
      <c r="T70" s="8" t="inlineStr">
        <is>
          <t>Not run — proposed 2026-09-14</t>
        </is>
      </c>
      <c r="U70" s="8" t="inlineStr">
        <is>
          <t>Yes — pending your review</t>
        </is>
      </c>
      <c r="V70" s="8" t="inlineStr">
        <is>
          <t>Needs Mixamo character selection and the judge-only input.</t>
        </is>
      </c>
      <c r="W70" s="9">
        <f>IF(D70="Video Editing",Assumptions!$B$2+Assumptions!$B$3,IF(D70="Image-to-Video",Assumptions!$B$4+Assumptions!$B$5,""))</f>
        <v/>
      </c>
      <c r="X70" s="7" t="n"/>
      <c r="Y70" s="7" t="n"/>
    </row>
    <row r="71" ht="150" customHeight="1">
      <c r="A71" s="5" t="n">
        <v>70</v>
      </c>
      <c r="B71" s="8" t="inlineStr">
        <is>
          <t>New — proposed</t>
        </is>
      </c>
      <c r="C71" s="8" t="inlineStr">
        <is>
          <t>VID-CAM-03</t>
        </is>
      </c>
      <c r="D71" s="8" t="inlineStr">
        <is>
          <t>Image-to-Video</t>
        </is>
      </c>
      <c r="E71" s="8" t="inlineStr">
        <is>
          <t>Camera &amp; viewpoint</t>
        </is>
      </c>
      <c r="F71" s="8" t="inlineStr">
        <is>
          <t>Travel &amp; Tourism</t>
        </is>
      </c>
      <c r="G71" s="8" t="inlineStr">
        <is>
          <t>Cultural heritage</t>
        </is>
      </c>
      <c r="H71" s="8" t="inlineStr">
        <is>
          <t>Eye-level → low-angle hero shot of a monument</t>
        </is>
      </c>
      <c r="I71" s="8" t="inlineStr">
        <is>
          <t>Eye-level photo of the Ferdinando di Savoia equestrian monument, Turin (whole monument, railings, square); 16:9, 1080p</t>
        </is>
      </c>
      <c r="J71" s="8" t="inlineStr">
        <is>
          <t>Move in, lower and tilt up to a dramatic low angle, stopping outside the railings</t>
        </is>
      </c>
      <c r="K71" s="8" t="inlineStr">
        <is>
          <t>Starting exactly from this photo, the camera moves towards the monument and lowers smoothly towards the ground while tilting up, stopping just outside the railings in a dramatic low-angle shot looking up at the rider and horse against the sky. The monument, its railings and the square around it do not change or move.</t>
        </is>
      </c>
      <c r="L71" s="8" t="inlineStr">
        <is>
          <t>1) First frame = input  2) Continuous forward, downward, tilting move  3) True low angle at the end: underside of horse, rider and raised sword against sky, converging verticals, foreshortened relief panel  4) Monument unchanged: pose, sword, shape trailing behind the horse, pedestal  5) Railings rigid; camera does not pass through them  6) No warping  7) Light and clouds consistent</t>
        </is>
      </c>
      <c r="M71" s="8" t="inlineStr">
        <is>
          <t>Vertical viewpoint change; perspective geometry; rigid identity of a complex shape</t>
        </is>
      </c>
      <c r="N71" s="8" t="inlineStr">
        <is>
          <t>Heritage and tourism hero shots without a crane or drone</t>
        </is>
      </c>
      <c r="O71" s="8" t="inlineStr">
        <is>
          <t>CIN-05's crane was text-to-video; no scenario moved the camera vertically around a real subject from a photo</t>
        </is>
      </c>
      <c r="P71" s="8" t="inlineStr">
        <is>
          <t>https://commons.wikimedia.org/wiki/File:Torino_-_Monumento_equestre_a_Ferdinando_di_Savoia_-_1.jpg</t>
        </is>
      </c>
      <c r="Q71" s="8" t="inlineStr">
        <is>
          <t>CC BY-SA 4.0 — Benjamin Smith (share-alike applies to published outputs)</t>
        </is>
      </c>
      <c r="R71" s="8" t="inlineStr">
        <is>
          <t>Ready — downloaded &amp; prepared in assets/bank</t>
        </is>
      </c>
      <c r="S71" s="8" t="inlineStr">
        <is>
          <t>—</t>
        </is>
      </c>
      <c r="T71" s="8" t="inlineStr">
        <is>
          <t>Not run — proposed 2026-09-14</t>
        </is>
      </c>
      <c r="U71" s="8" t="inlineStr">
        <is>
          <t>Yes — pending your review</t>
        </is>
      </c>
      <c r="V71" s="8" t="inlineStr">
        <is>
          <t>—</t>
        </is>
      </c>
      <c r="W71" s="9">
        <f>IF(D71="Video Editing",Assumptions!$B$2+Assumptions!$B$3,IF(D71="Image-to-Video",Assumptions!$B$4+Assumptions!$B$5,""))</f>
        <v/>
      </c>
      <c r="X71" s="7" t="n"/>
      <c r="Y71" s="7" t="n"/>
    </row>
    <row r="72" ht="150" customHeight="1">
      <c r="A72" s="5" t="n">
        <v>71</v>
      </c>
      <c r="B72" s="8" t="inlineStr">
        <is>
          <t>New — proposed</t>
        </is>
      </c>
      <c r="C72" s="8" t="inlineStr">
        <is>
          <t>VID-CAM-04</t>
        </is>
      </c>
      <c r="D72" s="8" t="inlineStr">
        <is>
          <t>Image-to-Video</t>
        </is>
      </c>
      <c r="E72" s="8" t="inlineStr">
        <is>
          <t>Camera &amp; viewpoint</t>
        </is>
      </c>
      <c r="F72" s="8" t="inlineStr">
        <is>
          <t>Film &amp; Music video</t>
        </is>
      </c>
      <c r="G72" s="8" t="inlineStr">
        <is>
          <t>Advertising</t>
        </is>
      </c>
      <c r="H72" s="8" t="inlineStr">
        <is>
          <t>Dolly zoom from a single photo</t>
        </is>
      </c>
      <c r="I72" s="8" t="inlineStr">
        <is>
          <t>Long white corridor at Marina Bay MRT Station with one small seated figure at the far end; 16:9, 1080p</t>
        </is>
      </c>
      <c r="J72" s="8" t="inlineStr">
        <is>
          <t>Dolly forward while zooming out so the figure stays the same size while the corridor's perspective stretches</t>
        </is>
      </c>
      <c r="K72" s="8" t="inlineStr">
        <is>
          <t>Starting exactly from this photo, create a dolly zoom: the camera moves forward along the corridor while zooming out, so the person sitting at the far end stays exactly the same size and in the same place in the frame, while the walls, floor and ceiling stretch outward and the corridor appears to grow longer.</t>
        </is>
      </c>
      <c r="L72" s="8" t="inlineStr">
        <is>
          <t>1) First frame = input  2) Seated person's size and position constant within about 5% (measurable)  3) Perspective widens: floor and wall lines splay outward, far end recedes, ceiling-light spacing changes consistently  4) A plain zoom or crop is an automatic fail  5) Scene rigid, person stays seated</t>
        </is>
      </c>
      <c r="M72" s="8" t="inlineStr">
        <is>
          <t>Depth-aware camera control with two opposing parameters; cannot be faked in 2D</t>
        </is>
      </c>
      <c r="N72" s="8" t="inlineStr">
        <is>
          <t>A signature cinematic effect in trailers, music videos and reels</t>
        </is>
      </c>
      <c r="O72" s="8" t="inlineStr">
        <is>
          <t>Every earlier camera test could pass with 2D scaling or panning; this one cannot</t>
        </is>
      </c>
      <c r="P72" s="8" t="inlineStr">
        <is>
          <t>https://commons.wikimedia.org/wiki/File:Long_corridor_with_someone_sitting_on_the_floor_in_the_distance_at_Marina_Bay_MRT_Station_Singapore.jpg</t>
        </is>
      </c>
      <c r="Q72" s="8" t="inlineStr">
        <is>
          <t>CC BY-SA 4.0 — Basile Morin (share-alike applies)</t>
        </is>
      </c>
      <c r="R72" s="8" t="inlineStr">
        <is>
          <t>Ready — downloaded &amp; prepared in assets/bank</t>
        </is>
      </c>
      <c r="S72" s="8" t="inlineStr">
        <is>
          <t>Detector-measured subject size (deterministic check)</t>
        </is>
      </c>
      <c r="T72" s="8" t="inlineStr">
        <is>
          <t>Not run — proposed 2026-09-14</t>
        </is>
      </c>
      <c r="U72" s="8" t="inlineStr">
        <is>
          <t>Yes — pending your review</t>
        </is>
      </c>
      <c r="V72" s="8" t="inlineStr">
        <is>
          <t>—</t>
        </is>
      </c>
      <c r="W72" s="9">
        <f>IF(D72="Video Editing",Assumptions!$B$2+Assumptions!$B$3,IF(D72="Image-to-Video",Assumptions!$B$4+Assumptions!$B$5,""))</f>
        <v/>
      </c>
      <c r="X72" s="7" t="n"/>
      <c r="Y72" s="7" t="n"/>
    </row>
    <row r="73" ht="150" customHeight="1">
      <c r="A73" s="5" t="n">
        <v>72</v>
      </c>
      <c r="B73" s="8" t="inlineStr">
        <is>
          <t>New — proposed</t>
        </is>
      </c>
      <c r="C73" s="8" t="inlineStr">
        <is>
          <t>VID-CAM-05</t>
        </is>
      </c>
      <c r="D73" s="8" t="inlineStr">
        <is>
          <t>Image-to-Video</t>
        </is>
      </c>
      <c r="E73" s="8" t="inlineStr">
        <is>
          <t>Camera &amp; viewpoint</t>
        </is>
      </c>
      <c r="F73" s="8" t="inlineStr">
        <is>
          <t>Fashion &amp; Talent</t>
        </is>
      </c>
      <c r="G73" s="8" t="inlineStr">
        <is>
          <t>E-commerce</t>
        </is>
      </c>
      <c r="H73" s="8" t="inlineStr">
        <is>
          <t>Portrait ¾ → profile, scored against a real profile photo</t>
        </is>
      </c>
      <c r="I73" s="8" t="inlineStr">
        <is>
          <t>In-house head-and-shoulders photo of a consenting colleague in three-quarter view, plain background, soft light</t>
        </is>
      </c>
      <c r="J73" s="8" t="inlineStr">
        <is>
          <t>Orbit about 45° to full profile while the person stays still</t>
        </is>
      </c>
      <c r="K73" s="8" t="inlineStr">
        <is>
          <t>Starting exactly from this photo, the camera moves slowly around the person at the same height until it sees them in full side profile. The person stays still with the same expression, and the lighting stays the same.</t>
        </is>
      </c>
      <c r="L73" s="8" t="inlineStr">
        <is>
          <t>1) First frame = input  2) Ends in true profile  3) Matches the real profile photo: nose, lips, chin, jaw, ear, hairline  4) Identity stable across frames (face-embedding similarity)  5) No expression change  6) Shadow moves across the face as fixed lighting would</t>
        </is>
      </c>
      <c r="M73" s="8" t="inlineStr">
        <is>
          <t>3D facial geometry and identity through a viewpoint change, measured against the real face</t>
        </is>
      </c>
      <c r="N73" s="8" t="inlineStr">
        <is>
          <t>Virtual photoshoots, model angles for e-commerce, character sheets</t>
        </is>
      </c>
      <c r="O73" s="8" t="inlineStr">
        <is>
          <t>All scenarios on people kept the camera fixed; none required facial geometry from an unseen angle</t>
        </is>
      </c>
      <c r="P73" s="8" t="inlineStr">
        <is>
          <t>In-house shoot (two photos + signed release)</t>
        </is>
      </c>
      <c r="Q73" s="8" t="inlineStr">
        <is>
          <t>Internal, consented</t>
        </is>
      </c>
      <c r="R73" s="8" t="inlineStr">
        <is>
          <t>NO downloadable source — needs capture / render / shoot</t>
        </is>
      </c>
      <c r="S73" s="8" t="inlineStr">
        <is>
          <t>Real profile photo from the same session (judge only)</t>
        </is>
      </c>
      <c r="T73" s="8" t="inlineStr">
        <is>
          <t>Not run — proposed 2026-09-14</t>
        </is>
      </c>
      <c r="U73" s="8" t="inlineStr">
        <is>
          <t>Yes — pending your review</t>
        </is>
      </c>
      <c r="V73" s="8" t="inlineStr">
        <is>
          <t>Seedance may refuse real faces — probe first; a refusal is recorded as a result.</t>
        </is>
      </c>
      <c r="W73" s="9">
        <f>IF(D73="Video Editing",Assumptions!$B$2+Assumptions!$B$3,IF(D73="Image-to-Video",Assumptions!$B$4+Assumptions!$B$5,""))</f>
        <v/>
      </c>
      <c r="X73" s="7" t="n"/>
      <c r="Y73" s="7" t="n"/>
    </row>
    <row r="74" ht="150" customHeight="1">
      <c r="A74" s="5" t="n">
        <v>73</v>
      </c>
      <c r="B74" s="8" t="inlineStr">
        <is>
          <t>New — proposed</t>
        </is>
      </c>
      <c r="C74" s="8" t="inlineStr">
        <is>
          <t>VID-CAM-06</t>
        </is>
      </c>
      <c r="D74" s="8" t="inlineStr">
        <is>
          <t>Image-to-Video</t>
        </is>
      </c>
      <c r="E74" s="8" t="inlineStr">
        <is>
          <t>Camera &amp; viewpoint</t>
        </is>
      </c>
      <c r="F74" s="8" t="inlineStr">
        <is>
          <t>Events &amp; Venues</t>
        </is>
      </c>
      <c r="G74" s="8" t="inlineStr">
        <is>
          <t>Hospitality, Real Estate</t>
        </is>
      </c>
      <c r="H74" s="8" t="inlineStr">
        <is>
          <t>Event hall layout orbit, scored against a real photo</t>
        </is>
      </c>
      <c r="I74" s="8" t="inlineStr">
        <is>
          <t>Real photo of a banquet hall with set tables, chairs, wooden pillars, plants and windows (Tanks and Temples 'Meetingroom' scene)</t>
        </is>
      </c>
      <c r="J74" s="8" t="inlineStr">
        <is>
          <t>Arc about a quarter turn around the meeting table; every object keeps its place</t>
        </is>
      </c>
      <c r="K74" s="8" t="inlineStr">
        <is>
          <t>Starting exactly from this photo, the camera moves smoothly in an arc through the hall by about a quarter turn, keeping the central tables in frame. Nothing in the room moves.</t>
        </is>
      </c>
      <c r="L74" s="8" t="inlineStr">
        <is>
          <t>1) First frame = input  2) Continuous arc  3) Last frame matches the real photo from that position: table and chair positions, which object hides which, pillars, plants, and windows on the correct walls  4) Room proportions constant  5) Nothing appears or disappears  6) Lighting fixed</t>
        </is>
      </c>
      <c r="M74" s="8" t="inlineStr">
        <is>
          <t>Indoor multi-object layout and occlusion order, checked against reality</t>
        </is>
      </c>
      <c r="N74" s="8" t="inlineStr">
        <is>
          <t>Virtual tours of offices, coworking spaces and listings from one photo</t>
        </is>
      </c>
      <c r="O74" s="8" t="inlineStr">
        <is>
          <t>CAM-01 orbits one rigid object outdoors; this tests a whole room's layout and occlusion</t>
        </is>
      </c>
      <c r="P74" s="8" t="inlineStr">
        <is>
          <t>https://www.tanksandtemples.org/download/ (Meetingroom.zip, 416 MB)</t>
        </is>
      </c>
      <c r="Q74" s="8" t="inlineStr">
        <is>
          <t>CC BY 4.0 — Tanks and Temples</t>
        </is>
      </c>
      <c r="R74" s="8" t="inlineStr">
        <is>
          <t>Found — download blocked (Google Drive quota, retry after 24 h)</t>
        </is>
      </c>
      <c r="S74" s="8" t="inlineStr">
        <is>
          <t>Real frame from ~90° around the table (judge only)</t>
        </is>
      </c>
      <c r="T74" s="8" t="inlineStr">
        <is>
          <t>Not run — proposed 2026-09-14</t>
        </is>
      </c>
      <c r="U74" s="8" t="inlineStr">
        <is>
          <t>Yes — pending your review</t>
        </is>
      </c>
      <c r="V74" s="8" t="inlineStr">
        <is>
          <t>Needs judge-only input.</t>
        </is>
      </c>
      <c r="W74" s="9">
        <f>IF(D74="Video Editing",Assumptions!$B$2+Assumptions!$B$3,IF(D74="Image-to-Video",Assumptions!$B$4+Assumptions!$B$5,""))</f>
        <v/>
      </c>
      <c r="X74" s="7" t="n"/>
      <c r="Y74" s="7" t="n"/>
    </row>
    <row r="75" ht="150" customHeight="1">
      <c r="A75" s="5" t="n">
        <v>74</v>
      </c>
      <c r="B75" s="8" t="inlineStr">
        <is>
          <t>New — proposed</t>
        </is>
      </c>
      <c r="C75" s="8" t="inlineStr">
        <is>
          <t>VID-CAM-07</t>
        </is>
      </c>
      <c r="D75" s="8" t="inlineStr">
        <is>
          <t>Image-to-Video</t>
        </is>
      </c>
      <c r="E75" s="8" t="inlineStr">
        <is>
          <t>Camera &amp; viewpoint</t>
        </is>
      </c>
      <c r="F75" s="8" t="inlineStr">
        <is>
          <t>Transport &amp; Rail</t>
        </is>
      </c>
      <c r="G75" s="8" t="inlineStr">
        <is>
          <t>Heritage attractions</t>
        </is>
      </c>
      <c r="H75" s="8" t="inlineStr">
        <is>
          <t>Close-up → wide pull-back, scored against a real photo</t>
        </is>
      </c>
      <c r="I75" s="8" t="inlineStr">
        <is>
          <t>Real close-up of the lower side of Western Pacific diesel locomotive #713 showing part of the 'PACIFIC' lettering and '713' (Tanks and Temples 'Train' frame 00243)</t>
        </is>
      </c>
      <c r="J75" s="8" t="inlineStr">
        <is>
          <t>Pull the camera straight back until the whole subject and surroundings are in view</t>
        </is>
      </c>
      <c r="K75" s="8" t="inlineStr">
        <is>
          <t>Starting exactly from this photo, the camera pulls straight back, away from the locomotive, until the whole locomotive and the rail yard around it are in view. Nothing moves.</t>
        </is>
      </c>
      <c r="L75" s="8" t="inlineStr">
        <is>
          <t>1) First frame = input  2) A true dolly-out with parallax, not a zoom-out  3) Last frame matches the real wide photo from the same bearing: full 'WESTERN PACIFIC 713' lettering, cab position, trucks and handrails, track and hills in the right places  4) No invented extra units  5) Lighting consistent</t>
        </is>
      </c>
      <c r="M75" s="8" t="inlineStr">
        <is>
          <t>Scene extension with correct geometry and scale beyond the frame, checked against reality</t>
        </is>
      </c>
      <c r="N75" s="8" t="inlineStr">
        <is>
          <t>Reveal shots for transport, rail heritage and tourism</t>
        </is>
      </c>
      <c r="O75" s="8" t="inlineStr">
        <is>
          <t>Earlier camera moves pushed in (losing information); a pull-back must invent what was out of frame and is checked against the real wide view</t>
        </is>
      </c>
      <c r="P75" s="8" t="inlineStr">
        <is>
          <t>https://www.tanksandtemples.org/download/ (Train.zip, 202 MB)</t>
        </is>
      </c>
      <c r="Q75" s="8" t="inlineStr">
        <is>
          <t>CC BY 4.0 — Tanks and Temples</t>
        </is>
      </c>
      <c r="R75" s="8" t="inlineStr">
        <is>
          <t>Found — download blocked (Google Drive quota, retry after 24 h)</t>
        </is>
      </c>
      <c r="S75" s="8" t="inlineStr">
        <is>
          <t>Real wide photo from the same bearing, 2.1 units further back (frame 00137, judge only) — pair chosen from COLMAP camera poses</t>
        </is>
      </c>
      <c r="T75" s="8" t="inlineStr">
        <is>
          <t>Not run — proposed 2026-09-14</t>
        </is>
      </c>
      <c r="U75" s="8" t="inlineStr">
        <is>
          <t>Yes — pending your review</t>
        </is>
      </c>
      <c r="V75" s="8" t="inlineStr">
        <is>
          <t>Needs judge-only input.</t>
        </is>
      </c>
      <c r="W75" s="9">
        <f>IF(D75="Video Editing",Assumptions!$B$2+Assumptions!$B$3,IF(D75="Image-to-Video",Assumptions!$B$4+Assumptions!$B$5,""))</f>
        <v/>
      </c>
      <c r="X75" s="7" t="n"/>
      <c r="Y75" s="7" t="n"/>
    </row>
    <row r="76" ht="150" customHeight="1">
      <c r="A76" s="5" t="n">
        <v>75</v>
      </c>
      <c r="B76" s="8" t="inlineStr">
        <is>
          <t>New — proposed</t>
        </is>
      </c>
      <c r="C76" s="8" t="inlineStr">
        <is>
          <t>VID-CAM-08</t>
        </is>
      </c>
      <c r="D76" s="8" t="inlineStr">
        <is>
          <t>Image-to-Video</t>
        </is>
      </c>
      <c r="E76" s="8" t="inlineStr">
        <is>
          <t>Camera &amp; viewpoint</t>
        </is>
      </c>
      <c r="F76" s="8" t="inlineStr">
        <is>
          <t>Education &amp; Board games</t>
        </is>
      </c>
      <c r="G76" s="8" t="inlineStr">
        <is>
          <t>E-commerce</t>
        </is>
      </c>
      <c r="H76" s="8" t="inlineStr">
        <is>
          <t>Three-quarter view → top-down over a chess game</t>
        </is>
      </c>
      <c r="I76" s="8" t="inlineStr">
        <is>
          <t>High three-quarter photo of a real mid-game chess position ('Modern Fianchetto Setup', Staunton No. 6 set)</t>
        </is>
      </c>
      <c r="J76" s="8" t="inlineStr">
        <is>
          <t>Rise and tilt down to an exact top-down view; every piece keeps its square</t>
        </is>
      </c>
      <c r="K76" s="8" t="inlineStr">
        <is>
          <t>Starting exactly from this photo, the camera rises and tilts down smoothly until it looks straight down on the chessboard from directly above. Every piece stays on exactly the same square and nothing on the board moves.</t>
        </is>
      </c>
      <c r="L76" s="8" t="inlineStr">
        <is>
          <t>1) First frame = input  2) Continuous rise and tilt  3) Final frame a true top-down: square board, undistorted 8x8 grid  4) Every piece on the same square as in the input (checked against a transcription of the position)  5) Piece types and colours unchanged  6) Board coordinate labels consistent</t>
        </is>
      </c>
      <c r="M76" s="8" t="inlineStr">
        <is>
          <t>Exact square-level spatial correspondence under a large elevation change</t>
        </is>
      </c>
      <c r="N76" s="8" t="inlineStr">
        <is>
          <t>Chess and board-game content, education, product pages for game sets</t>
        </is>
      </c>
      <c r="O76" s="8" t="inlineStr">
        <is>
          <t>No earlier scenario had a countable, square-by-square spatial invariant</t>
        </is>
      </c>
      <c r="P76" s="8" t="inlineStr">
        <is>
          <t>https://commons.wikimedia.org/wiki/File:Modern_Fianchetto_Setup._Chess_game_Staunton_No._6.jpg</t>
        </is>
      </c>
      <c r="Q76" s="8" t="inlineStr">
        <is>
          <t>CC0</t>
        </is>
      </c>
      <c r="R76" s="8" t="inlineStr">
        <is>
          <t>Downloaded &amp; verified — input to prepare</t>
        </is>
      </c>
      <c r="S76" s="8" t="inlineStr">
        <is>
          <t>Transcribed piece positions (deterministic check)</t>
        </is>
      </c>
      <c r="T76" s="8" t="inlineStr">
        <is>
          <t>Not run — proposed 2026-09-14</t>
        </is>
      </c>
      <c r="U76" s="8" t="inlineStr">
        <is>
          <t>Yes — pending your review</t>
        </is>
      </c>
      <c r="V76" s="8" t="inlineStr">
        <is>
          <t>—</t>
        </is>
      </c>
      <c r="W76" s="9">
        <f>IF(D76="Video Editing",Assumptions!$B$2+Assumptions!$B$3,IF(D76="Image-to-Video",Assumptions!$B$4+Assumptions!$B$5,""))</f>
        <v/>
      </c>
      <c r="X76" s="7" t="n"/>
      <c r="Y76" s="7" t="n"/>
    </row>
    <row r="77" ht="150" customHeight="1">
      <c r="A77" s="5" t="n">
        <v>76</v>
      </c>
      <c r="B77" s="8" t="inlineStr">
        <is>
          <t>New — proposed</t>
        </is>
      </c>
      <c r="C77" s="8" t="inlineStr">
        <is>
          <t>VID-CAM-09</t>
        </is>
      </c>
      <c r="D77" s="8" t="inlineStr">
        <is>
          <t>Image-to-Video</t>
        </is>
      </c>
      <c r="E77" s="8" t="inlineStr">
        <is>
          <t>Camera &amp; viewpoint</t>
        </is>
      </c>
      <c r="F77" s="8" t="inlineStr">
        <is>
          <t>Urban planning &amp; Civic</t>
        </is>
      </c>
      <c r="G77" s="8" t="inlineStr">
        <is>
          <t>Real Estate</t>
        </is>
      </c>
      <c r="H77" s="8" t="inlineStr">
        <is>
          <t>Street level → drone rise over a junction</t>
        </is>
      </c>
      <c r="I77" s="8" t="inlineStr">
        <is>
          <t>Street-level photo of the roadways at the Mogilskie Roundabout, Kraków (cars, road markings, office building, street lights)</t>
        </is>
      </c>
      <c r="J77" s="8" t="inlineStr">
        <is>
          <t>Rise vertically like a drone and tilt down to reveal the whole junction from above</t>
        </is>
      </c>
      <c r="K77" s="8" t="inlineStr">
        <is>
          <t>Starting exactly from this photo, the camera rises straight up like a drone and tilts down until it shows the whole junction from high above. The buildings, road markings and street lights stay where they are, and the traffic keeps moving naturally along its lanes.</t>
        </is>
      </c>
      <c r="L77" s="8" t="inlineStr">
        <is>
          <t>1) First frame = input  2) Continuous vertical rise and tilt  3) Road layout from above is consistent with the street view: lane count, direction of each road, building positions  4) Buildings do not warp  5) Cars move along lanes  6) Plausible scale</t>
        </is>
      </c>
      <c r="M77" s="8" t="inlineStr">
        <is>
          <t>Ground-to-aerial 3D inference with layout consistency</t>
        </is>
      </c>
      <c r="N77" s="8" t="inlineStr">
        <is>
          <t>Real estate and urban planning flyovers without flying a drone</t>
        </is>
      </c>
      <c r="O77" s="8" t="inlineStr">
        <is>
          <t>CIN-05's crane was text-to-video; nothing lifted a real street photo to an aerial view</t>
        </is>
      </c>
      <c r="P77" s="8" t="inlineStr">
        <is>
          <t>https://commons.wikimedia.org/wiki/File:Mogilskie_Roundabout,_roadways_on_the_upper_level_of_the_roundabout,_Grzeg%C3%B3rzki,_Krak%C3%B3w,_Poland.jpg</t>
        </is>
      </c>
      <c r="Q77" s="8" t="inlineStr">
        <is>
          <t>CC BY-SA 4.0</t>
        </is>
      </c>
      <c r="R77" s="8" t="inlineStr">
        <is>
          <t>Downloaded &amp; verified — input to prepare</t>
        </is>
      </c>
      <c r="S77" s="8" t="inlineStr">
        <is>
          <t>—</t>
        </is>
      </c>
      <c r="T77" s="8" t="inlineStr">
        <is>
          <t>Not run — proposed 2026-09-14</t>
        </is>
      </c>
      <c r="U77" s="8" t="inlineStr">
        <is>
          <t>Yes — pending your review</t>
        </is>
      </c>
      <c r="V77" s="8" t="inlineStr">
        <is>
          <t>No ground truth: judged on plausibility and layout consistency only.</t>
        </is>
      </c>
      <c r="W77" s="9">
        <f>IF(D77="Video Editing",Assumptions!$B$2+Assumptions!$B$3,IF(D77="Image-to-Video",Assumptions!$B$4+Assumptions!$B$5,""))</f>
        <v/>
      </c>
      <c r="X77" s="7" t="n"/>
      <c r="Y77" s="7" t="n"/>
    </row>
    <row r="78" ht="150" customHeight="1">
      <c r="A78" s="5" t="n">
        <v>77</v>
      </c>
      <c r="B78" s="8" t="inlineStr">
        <is>
          <t>New — proposed</t>
        </is>
      </c>
      <c r="C78" s="8" t="inlineStr">
        <is>
          <t>VID-CAM-10</t>
        </is>
      </c>
      <c r="D78" s="8" t="inlineStr">
        <is>
          <t>Image-to-Video</t>
        </is>
      </c>
      <c r="E78" s="8" t="inlineStr">
        <is>
          <t>Camera &amp; viewpoint</t>
        </is>
      </c>
      <c r="F78" s="8" t="inlineStr">
        <is>
          <t>Retail — shopping centres</t>
        </is>
      </c>
      <c r="G78" s="8" t="inlineStr">
        <is>
          <t>Hospitality, Real Estate</t>
        </is>
      </c>
      <c r="H78" s="8" t="inlineStr">
        <is>
          <t>Walk through a mall entrance into the interior</t>
        </is>
      </c>
      <c r="I78" s="8" t="inlineStr">
        <is>
          <t>Photo of the glass entrance of Hilton Plaza, Sha Tin, Hong Kong, with the lit interior corridor visible through the doors</t>
        </is>
      </c>
      <c r="J78" s="8" t="inlineStr">
        <is>
          <t>Move forward through the doorway and a few metres inside; the interior glimpsed at the start must match what is revealed</t>
        </is>
      </c>
      <c r="K78" s="8" t="inlineStr">
        <is>
          <t>Starting exactly from this photo, the glass entrance doors open and the camera moves forward through them into the mall, continuing a few metres along the corridor. The interior visible through the glass at the start must match what the camera finds inside.</t>
        </is>
      </c>
      <c r="L78" s="8" t="inlineStr">
        <is>
          <t>1) First frame = input  2) Continuous move through the threshold, no cut  3) Interior layout, light colour and furniture consistent with the initial glimpse  4) Door frame scale correct as the camera passes  5) Plausible exposure change from outside to inside</t>
        </is>
      </c>
      <c r="M78" s="8" t="inlineStr">
        <is>
          <t>Spatial continuity across a threshold; unseen-space synthesis constrained by a visible glimpse</t>
        </is>
      </c>
      <c r="N78" s="8" t="inlineStr">
        <is>
          <t>Restaurant, hotel and venue 'walk-in' promos</t>
        </is>
      </c>
      <c r="O78" s="8" t="inlineStr">
        <is>
          <t>All earlier camera moves stayed within one space</t>
        </is>
      </c>
      <c r="P78" s="8" t="inlineStr">
        <is>
          <t>https://commons.wikimedia.org/wiki/File:HK_%E6%B2%99%E7%94%B0_Sha_Tin_%E6%B2%99%E7%94%B0%E6%AD%A3%E8%A1%97_Shatin_Centre_Street_%E5%B8%8C%E7%88%BE%E9%A0%93%E4%B8%AD%E5%BF%83_Hilton_Plaza_mall_glass_door_near_Tao_Heung_Restaurant_September_2022_Px3.jpg</t>
        </is>
      </c>
      <c r="Q78" s="8" t="inlineStr">
        <is>
          <t>CC BY-SA 4.0</t>
        </is>
      </c>
      <c r="R78" s="8" t="inlineStr">
        <is>
          <t>Downloaded &amp; verified — input to prepare</t>
        </is>
      </c>
      <c r="S78" s="8" t="inlineStr">
        <is>
          <t>—</t>
        </is>
      </c>
      <c r="T78" s="8" t="inlineStr">
        <is>
          <t>Not run — proposed 2026-09-14</t>
        </is>
      </c>
      <c r="U78" s="8" t="inlineStr">
        <is>
          <t>Yes — pending your review</t>
        </is>
      </c>
      <c r="V78" s="8" t="inlineStr">
        <is>
          <t>No ground truth. One seated person visible at a distance.</t>
        </is>
      </c>
      <c r="W78" s="9">
        <f>IF(D78="Video Editing",Assumptions!$B$2+Assumptions!$B$3,IF(D78="Image-to-Video",Assumptions!$B$4+Assumptions!$B$5,""))</f>
        <v/>
      </c>
      <c r="X78" s="7" t="n"/>
      <c r="Y78" s="7" t="n"/>
    </row>
    <row r="79" ht="150" customHeight="1">
      <c r="A79" s="5" t="n">
        <v>78</v>
      </c>
      <c r="B79" s="8" t="inlineStr">
        <is>
          <t>New — proposed</t>
        </is>
      </c>
      <c r="C79" s="8" t="inlineStr">
        <is>
          <t>VID-CAM-11</t>
        </is>
      </c>
      <c r="D79" s="8" t="inlineStr">
        <is>
          <t>Image-to-Video</t>
        </is>
      </c>
      <c r="E79" s="8" t="inlineStr">
        <is>
          <t>Camera &amp; viewpoint</t>
        </is>
      </c>
      <c r="F79" s="8" t="inlineStr">
        <is>
          <t>Retail &amp; Architecture</t>
        </is>
      </c>
      <c r="G79" s="8" t="inlineStr">
        <is>
          <t>Automotive advertising</t>
        </is>
      </c>
      <c r="H79" s="8" t="inlineStr">
        <is>
          <t>Sideways move past a mirror — reflection must shift correctly</t>
        </is>
      </c>
      <c r="I79" s="8" t="inlineStr">
        <is>
          <t>Photo of a wall-mounted mirror on a building reflecting the high street</t>
        </is>
      </c>
      <c r="J79" s="8" t="inlineStr">
        <is>
          <t>Slide the camera sideways parallel to the wall; the reflected street shifts like a real reflection</t>
        </is>
      </c>
      <c r="K79" s="8" t="inlineStr">
        <is>
          <t>Starting exactly from this photo, the camera slides slowly to the right, parallel to the wall. The mirror stays fixed on the wall, and the street reflected in it shifts the way a real reflection would as the camera moves.</t>
        </is>
      </c>
      <c r="L79" s="8" t="inlineStr">
        <is>
          <t>1) First frame = input  2) Smooth sideways move  3) Mirror frame moves with the wall's parallax  4) Reflected scene shifts consistently with mirror geometry and reveals new content at one edge  5) Reflection behaves as a reflection, not a static picture  6) Real street parallax consistent</t>
        </is>
      </c>
      <c r="M79" s="8" t="inlineStr">
        <is>
          <t>Specular reflection geometry under camera motion</t>
        </is>
      </c>
      <c r="N79" s="8" t="inlineStr">
        <is>
          <t>Architecture, shop-window and automotive ads depend on believable reflections</t>
        </is>
      </c>
      <c r="O79" s="8" t="inlineStr">
        <is>
          <t>No scenario has tested reflections</t>
        </is>
      </c>
      <c r="P79" s="8" t="inlineStr">
        <is>
          <t>https://commons.wikimedia.org/wiki/File:High_Street_reflected_in_the_mirror_hanging_on_the_side_of_the_building_at_152-154_High_Street,_Motueka,_New_Zealand.jpg</t>
        </is>
      </c>
      <c r="Q79" s="8" t="inlineStr">
        <is>
          <t>CC BY-SA 4.0</t>
        </is>
      </c>
      <c r="R79" s="8" t="inlineStr">
        <is>
          <t>Downloaded &amp; verified — input to prepare</t>
        </is>
      </c>
      <c r="S79" s="8" t="inlineStr">
        <is>
          <t>—</t>
        </is>
      </c>
      <c r="T79" s="8" t="inlineStr">
        <is>
          <t>Not run — proposed 2026-09-14</t>
        </is>
      </c>
      <c r="U79" s="8" t="inlineStr">
        <is>
          <t>Yes — pending your review</t>
        </is>
      </c>
      <c r="V79" s="8" t="inlineStr">
        <is>
          <t>—</t>
        </is>
      </c>
      <c r="W79" s="9">
        <f>IF(D79="Video Editing",Assumptions!$B$2+Assumptions!$B$3,IF(D79="Image-to-Video",Assumptions!$B$4+Assumptions!$B$5,""))</f>
        <v/>
      </c>
      <c r="X79" s="7" t="n"/>
      <c r="Y79" s="7" t="n"/>
    </row>
    <row r="80" ht="150" customHeight="1">
      <c r="A80" s="5" t="n">
        <v>79</v>
      </c>
      <c r="B80" s="8" t="inlineStr">
        <is>
          <t>New — proposed</t>
        </is>
      </c>
      <c r="C80" s="8" t="inlineStr">
        <is>
          <t>VID-POST-01</t>
        </is>
      </c>
      <c r="D80" s="8" t="inlineStr">
        <is>
          <t>Video Editing</t>
        </is>
      </c>
      <c r="E80" s="8" t="inlineStr">
        <is>
          <t>Post-production</t>
        </is>
      </c>
      <c r="F80" s="8" t="inlineStr">
        <is>
          <t>Sports</t>
        </is>
      </c>
      <c r="G80" s="8" t="inlineStr">
        <is>
          <t>Social media</t>
        </is>
      </c>
      <c r="H80" s="8" t="inlineStr">
        <is>
          <t>Smart reframe 16:9 → 9:16 following the play</t>
        </is>
      </c>
      <c r="I80" s="8" t="inlineStr">
        <is>
          <t>Real landscape clip of a ball game (basketball, football or handball), 6–10 s</t>
        </is>
      </c>
      <c r="J80" s="8" t="inlineStr">
        <is>
          <t>Crop to vertical while a virtual camera follows the ball and players; no invented content</t>
        </is>
      </c>
      <c r="K80" s="8" t="inlineStr">
        <is>
          <t>Reframe this landscape sports clip into a vertical 9:16 video for social media. Follow the ball and the players involved in the play so the action is always in frame, with smooth camera-like movement. Do not add, remove or change anything in the scene.</t>
        </is>
      </c>
      <c r="L80" s="8" t="inlineStr">
        <is>
          <t>1) 9:16, same duration  2) Ball and key players in frame throughout  3) Smooth virtual camera, no jitter or jumps  4) No invented content — pixels come from the source  5) No stretching</t>
        </is>
      </c>
      <c r="M80" s="8" t="inlineStr">
        <is>
          <t>Action-aware tracking and framing of real footage</t>
        </is>
      </c>
      <c r="N80" s="8" t="inlineStr">
        <is>
          <t>Leagues and brands repurpose broadcasts for Shorts and Reels</t>
        </is>
      </c>
      <c r="O80" s="8" t="inlineStr">
        <is>
          <t>AD-06 generated a vertical variant from scratch; this reframes real footage without inventing anything</t>
        </is>
      </c>
      <c r="P80" s="8" t="inlineStr">
        <is>
          <t>Wikimedia Commons (search running)</t>
        </is>
      </c>
      <c r="Q80" s="8" t="inlineStr">
        <is>
          <t>—</t>
        </is>
      </c>
      <c r="R80" s="8" t="inlineStr">
        <is>
          <t>Weak candidate — replacement being checked</t>
        </is>
      </c>
      <c r="S80" s="8" t="inlineStr">
        <is>
          <t>Source clip (crop must be a subset)</t>
        </is>
      </c>
      <c r="T80" s="8" t="inlineStr">
        <is>
          <t>Not run — proposed 2026-09-14</t>
        </is>
      </c>
      <c r="U80" s="8" t="inlineStr">
        <is>
          <t>Yes — pending your review</t>
        </is>
      </c>
      <c r="V80" s="8" t="inlineStr">
        <is>
          <t>First candidate (NSF Diego Garcia game) rejected: an edited news package with captions, interviews and cuts, not continuous play. Checking broadcast-style highlights next.</t>
        </is>
      </c>
      <c r="W80" s="9">
        <f>IF(D80="Video Editing",Assumptions!$B$2+Assumptions!$B$3,IF(D80="Image-to-Video",Assumptions!$B$4+Assumptions!$B$5,""))</f>
        <v/>
      </c>
      <c r="X80" s="7" t="n"/>
      <c r="Y80" s="7" t="n"/>
    </row>
    <row r="81" ht="150" customHeight="1">
      <c r="A81" s="5" t="n">
        <v>80</v>
      </c>
      <c r="B81" s="8" t="inlineStr">
        <is>
          <t>New — proposed</t>
        </is>
      </c>
      <c r="C81" s="8" t="inlineStr">
        <is>
          <t>VID-POST-02</t>
        </is>
      </c>
      <c r="D81" s="8" t="inlineStr">
        <is>
          <t>Video Editing</t>
        </is>
      </c>
      <c r="E81" s="8" t="inlineStr">
        <is>
          <t>Post-production</t>
        </is>
      </c>
      <c r="F81" s="8" t="inlineStr">
        <is>
          <t>Action sports</t>
        </is>
      </c>
      <c r="G81" s="8" t="inlineStr">
        <is>
          <t>Advertising</t>
        </is>
      </c>
      <c r="H81" s="8" t="inlineStr">
        <is>
          <t>Speed ramp with true slow motion</t>
        </is>
      </c>
      <c r="I81" s="8" t="inlineStr">
        <is>
          <t>0–10 s of the 2023 Street Skateboarding World Championship, Tokyo (4K, one camera angle: approach, rail trick, landing)</t>
        </is>
      </c>
      <c r="J81" s="8" t="inlineStr">
        <is>
          <t>Normal speed → smooth ramp to quarter speed at the peak → back to normal, with interpolated frames</t>
        </is>
      </c>
      <c r="K81" s="8" t="inlineStr">
        <is>
          <t>Add a speed ramp to this clip: play at normal speed, slow down smoothly to quarter speed for the peak moment of the trick, then ramp back to normal speed. The slow-motion section must look naturally slow — smooth new in-between frames, no stutter, blur or duplicated frames.</t>
        </is>
      </c>
      <c r="L81" s="8" t="inlineStr">
        <is>
          <t>1) Ramp timing smooth and centred on the peak  2) Slow section has new in-between frames, not duplicates (measurable)  3) No morphing of limbs or board  4) Normal-speed sections unchanged  5) Output length matches the ramp</t>
        </is>
      </c>
      <c r="M81" s="8" t="inlineStr">
        <is>
          <t>Temporal super-resolution and retiming inside a clip</t>
        </is>
      </c>
      <c r="N81" s="8" t="inlineStr">
        <is>
          <t>Action-sports and sports-highlight edits</t>
        </is>
      </c>
      <c r="O81" s="8" t="inlineStr">
        <is>
          <t>EDIT-06 extended a clip; nothing tested retiming within one</t>
        </is>
      </c>
      <c r="P81" s="8" t="inlineStr">
        <is>
          <t>https://commons.wikimedia.org/wiki/File:Skateboarding-Street-World-Championship-Tokyo-Japan-2023-12-17_09889-09972.webm</t>
        </is>
      </c>
      <c r="Q81" s="8" t="inlineStr">
        <is>
          <t>CC BY 4.0</t>
        </is>
      </c>
      <c r="R81" s="8" t="inlineStr">
        <is>
          <t>Downloaded &amp; verified — input to prepare</t>
        </is>
      </c>
      <c r="S81" s="8" t="inlineStr">
        <is>
          <t>—</t>
        </is>
      </c>
      <c r="T81" s="8" t="inlineStr">
        <is>
          <t>Not run — proposed 2026-09-14</t>
        </is>
      </c>
      <c r="U81" s="8" t="inlineStr">
        <is>
          <t>Yes — pending your review</t>
        </is>
      </c>
      <c r="V81" s="8" t="inlineStr">
        <is>
          <t>—</t>
        </is>
      </c>
      <c r="W81" s="9">
        <f>IF(D81="Video Editing",Assumptions!$B$2+Assumptions!$B$3,IF(D81="Image-to-Video",Assumptions!$B$4+Assumptions!$B$5,""))</f>
        <v/>
      </c>
      <c r="X81" s="7" t="n"/>
      <c r="Y81" s="7" t="n"/>
    </row>
    <row r="82" ht="150" customHeight="1">
      <c r="A82" s="5" t="n">
        <v>81</v>
      </c>
      <c r="B82" s="8" t="inlineStr">
        <is>
          <t>New — proposed</t>
        </is>
      </c>
      <c r="C82" s="8" t="inlineStr">
        <is>
          <t>VID-POST-03</t>
        </is>
      </c>
      <c r="D82" s="8" t="inlineStr">
        <is>
          <t>Video Editing</t>
        </is>
      </c>
      <c r="E82" s="8" t="inlineStr">
        <is>
          <t>Post-production</t>
        </is>
      </c>
      <c r="F82" s="8" t="inlineStr">
        <is>
          <t>Travel &amp; Tourism</t>
        </is>
      </c>
      <c r="G82" s="8" t="inlineStr">
        <is>
          <t>Vlogging, Real Estate</t>
        </is>
      </c>
      <c r="H82" s="8" t="inlineStr">
        <is>
          <t>Stabilise a handheld walking shot</t>
        </is>
      </c>
      <c r="I82" s="8" t="inlineStr">
        <is>
          <t>Real handheld walking clip through a street or market, 6–10 s</t>
        </is>
      </c>
      <c r="J82" s="8" t="inlineStr">
        <is>
          <t>Remove shake and bounce like a gimbal while keeping direction and framing</t>
        </is>
      </c>
      <c r="K82" s="8" t="inlineStr">
        <is>
          <t>Stabilise this handheld walking shot so it looks like it was filmed on a gimbal: remove the shake and bounce while keeping the same direction of travel and framing. Do not crop into the subject or warp the buildings.</t>
        </is>
      </c>
      <c r="L82" s="8" t="inlineStr">
        <is>
          <t>1) Shake removed (optical-flow jitter measurable)  2) Camera path preserved  3) No wobble or warped verticals  4) Minimal crop, no black borders  5) Content unchanged</t>
        </is>
      </c>
      <c r="M82" s="8" t="inlineStr">
        <is>
          <t>Camera-path smoothing with content-preserving warps</t>
        </is>
      </c>
      <c r="N82" s="8" t="inlineStr">
        <is>
          <t>Travel vloggers and property walk-throughs</t>
        </is>
      </c>
      <c r="O82" s="8" t="inlineStr">
        <is>
          <t>First camera-shake correction scenario</t>
        </is>
      </c>
      <c r="P82" s="8" t="inlineStr">
        <is>
          <t>Wikimedia Commons (search running)</t>
        </is>
      </c>
      <c r="Q82" s="8" t="inlineStr">
        <is>
          <t>—</t>
        </is>
      </c>
      <c r="R82" s="8" t="inlineStr">
        <is>
          <t>NOT FOUND — see 'Sources not found'</t>
        </is>
      </c>
      <c r="S82" s="8" t="inlineStr">
        <is>
          <t>—</t>
        </is>
      </c>
      <c r="T82" s="8" t="inlineStr">
        <is>
          <t>Not run — proposed 2026-09-14</t>
        </is>
      </c>
      <c r="U82" s="8" t="inlineStr">
        <is>
          <t>Yes — pending your review</t>
        </is>
      </c>
      <c r="V82" s="8" t="inlineStr">
        <is>
          <t>Passers-by faces must stay small.</t>
        </is>
      </c>
      <c r="W82" s="9">
        <f>IF(D82="Video Editing",Assumptions!$B$2+Assumptions!$B$3,IF(D82="Image-to-Video",Assumptions!$B$4+Assumptions!$B$5,""))</f>
        <v/>
      </c>
      <c r="X82" s="7" t="n"/>
      <c r="Y82" s="7" t="n"/>
    </row>
    <row r="83" ht="150" customHeight="1">
      <c r="A83" s="5" t="n">
        <v>82</v>
      </c>
      <c r="B83" s="8" t="inlineStr">
        <is>
          <t>New — proposed</t>
        </is>
      </c>
      <c r="C83" s="8" t="inlineStr">
        <is>
          <t>VID-POST-04</t>
        </is>
      </c>
      <c r="D83" s="8" t="inlineStr">
        <is>
          <t>Video Editing</t>
        </is>
      </c>
      <c r="E83" s="8" t="inlineStr">
        <is>
          <t>Post-production</t>
        </is>
      </c>
      <c r="F83" s="8" t="inlineStr">
        <is>
          <t>Film VFX</t>
        </is>
      </c>
      <c r="G83" s="8" t="inlineStr">
        <is>
          <t>Real Estate</t>
        </is>
      </c>
      <c r="H83" s="8" t="inlineStr">
        <is>
          <t>Re-shoot from the other side of the room, scored against real footage</t>
        </is>
      </c>
      <c r="I83" s="8" t="inlineStr">
        <is>
          <t>6–8 s segment of the Tanks and Temples 'Meetingroom' walk-around video (static room)</t>
        </is>
      </c>
      <c r="J83" s="8" t="inlineStr">
        <is>
          <t>Re-render the clip as filmed from the opposite side of the table</t>
        </is>
      </c>
      <c r="K83" s="8" t="inlineStr">
        <is>
          <t>Re-render this clip as if it had been filmed from the opposite side of the table, with the same kind of slow camera movement. The room and everything in it stay exactly the same.</t>
        </is>
      </c>
      <c r="L83" s="8" t="inlineStr">
        <is>
          <t>1) Viewpoint is the opposite side  2) Layout matches real footage from that side: chairs, screen, windows  3) Similar motion style  4) No hallucinated objects  5) Temporally stable</t>
        </is>
      </c>
      <c r="M83" s="8" t="inlineStr">
        <is>
          <t>Re-rendering a real scene from a new viewpoint, checked against real footage</t>
        </is>
      </c>
      <c r="N83" s="8" t="inlineStr">
        <is>
          <t>'Re-shoot in post' for VFX; property marketing</t>
        </is>
      </c>
      <c r="O83" s="8" t="inlineStr">
        <is>
          <t>EDIT-07 changed a static shot to a push-in in place; this moves the camera to a new side of the room. Same room as CAM-06 but video in, video out</t>
        </is>
      </c>
      <c r="P83" s="8" t="inlineStr">
        <is>
          <t>https://www.tanksandtemples.org/download/ (Meetingroom.mp4, 4.27 GB — segment read by range)</t>
        </is>
      </c>
      <c r="Q83" s="8" t="inlineStr">
        <is>
          <t>CC BY 4.0 — Tanks and Temples</t>
        </is>
      </c>
      <c r="R83" s="8" t="inlineStr">
        <is>
          <t>Found — download blocked (Google Drive quota, retry after 24 h)</t>
        </is>
      </c>
      <c r="S83" s="8" t="inlineStr">
        <is>
          <t>Real segment filmed from the opposite side (judge only)</t>
        </is>
      </c>
      <c r="T83" s="8" t="inlineStr">
        <is>
          <t>Not run — proposed 2026-09-14</t>
        </is>
      </c>
      <c r="U83" s="8" t="inlineStr">
        <is>
          <t>Yes — pending your review</t>
        </is>
      </c>
      <c r="V83" s="8" t="inlineStr">
        <is>
          <t>Needs judge-only input. Very hard: a stretch test.</t>
        </is>
      </c>
      <c r="W83" s="9">
        <f>IF(D83="Video Editing",Assumptions!$B$2+Assumptions!$B$3,IF(D83="Image-to-Video",Assumptions!$B$4+Assumptions!$B$5,""))</f>
        <v/>
      </c>
      <c r="X83" s="7" t="n"/>
      <c r="Y83" s="7" t="n"/>
    </row>
    <row r="84" ht="150" customHeight="1">
      <c r="A84" s="5" t="n">
        <v>83</v>
      </c>
      <c r="B84" s="8" t="inlineStr">
        <is>
          <t>New — proposed</t>
        </is>
      </c>
      <c r="C84" s="8" t="inlineStr">
        <is>
          <t>VID-POST-05</t>
        </is>
      </c>
      <c r="D84" s="8" t="inlineStr">
        <is>
          <t>Video Editing</t>
        </is>
      </c>
      <c r="E84" s="8" t="inlineStr">
        <is>
          <t>Post-production</t>
        </is>
      </c>
      <c r="F84" s="8" t="inlineStr">
        <is>
          <t>News &amp; Archives</t>
        </is>
      </c>
      <c r="G84" s="8" t="inlineStr">
        <is>
          <t>Documentary</t>
        </is>
      </c>
      <c r="H84" s="8" t="inlineStr">
        <is>
          <t>Restore archival film without inventing detail</t>
        </is>
      </c>
      <c r="I84" s="8" t="inlineStr">
        <is>
          <t>About 8 s from 'A Trip Down Market Street' (1906): one continuous forward take from a cable car, with dust, scratches and flicker</t>
        </is>
      </c>
      <c r="J84" s="8" t="inlineStr">
        <is>
          <t>Remove dust, scratches, flicker and gate weave; keep black-and-white, grain and all content</t>
        </is>
      </c>
      <c r="K84" s="8" t="inlineStr">
        <is>
          <t>Restore this archival film clip: remove dust, scratches and flicker, and steady the frame wobble. Keep the original black-and-white look, film grain and every detail of the scene — do not colourise, invent new faces or add anything.</t>
        </is>
      </c>
      <c r="L84" s="8" t="inlineStr">
        <is>
          <t>1) Dust and scratches removed  2) Flicker reduced (luma variance)  3) Gate weave steadied  4) Grain kept, not waxy  5) No invented detail: faces, signs and objects unchanged  6) Still black-and-white</t>
        </is>
      </c>
      <c r="M84" s="8" t="inlineStr">
        <is>
          <t>Artefact removal without hallucination</t>
        </is>
      </c>
      <c r="N84" s="8" t="inlineStr">
        <is>
          <t>Archives, newsrooms and documentary producers</t>
        </is>
      </c>
      <c r="O84" s="8" t="inlineStr">
        <is>
          <t>No restoration task before</t>
        </is>
      </c>
      <c r="P84" s="8" t="inlineStr">
        <is>
          <t>https://commons.wikimedia.org/wiki/File:A_Trip_down_market_street_(1906).webm</t>
        </is>
      </c>
      <c r="Q84" s="8" t="inlineStr">
        <is>
          <t>Public domain</t>
        </is>
      </c>
      <c r="R84" s="8" t="inlineStr">
        <is>
          <t>Downloaded &amp; verified — input to prepare</t>
        </is>
      </c>
      <c r="S84" s="8" t="inlineStr">
        <is>
          <t>—</t>
        </is>
      </c>
      <c r="T84" s="8" t="inlineStr">
        <is>
          <t>Not run — proposed 2026-09-14</t>
        </is>
      </c>
      <c r="U84" s="8" t="inlineStr">
        <is>
          <t>Yes — pending your review</t>
        </is>
      </c>
      <c r="V84" s="8" t="inlineStr">
        <is>
          <t>Prefer distant crowds (face filter).</t>
        </is>
      </c>
      <c r="W84" s="9">
        <f>IF(D84="Video Editing",Assumptions!$B$2+Assumptions!$B$3,IF(D84="Image-to-Video",Assumptions!$B$4+Assumptions!$B$5,""))</f>
        <v/>
      </c>
      <c r="X84" s="7" t="n"/>
      <c r="Y84" s="7" t="n"/>
    </row>
    <row r="85" ht="150" customHeight="1">
      <c r="A85" s="5" t="n">
        <v>84</v>
      </c>
      <c r="B85" s="8" t="inlineStr">
        <is>
          <t>New — proposed</t>
        </is>
      </c>
      <c r="C85" s="8" t="inlineStr">
        <is>
          <t>VID-POST-06</t>
        </is>
      </c>
      <c r="D85" s="8" t="inlineStr">
        <is>
          <t>Video Editing</t>
        </is>
      </c>
      <c r="E85" s="8" t="inlineStr">
        <is>
          <t>Post-production</t>
        </is>
      </c>
      <c r="F85" s="8" t="inlineStr">
        <is>
          <t>Documentary &amp; Heritage</t>
        </is>
      </c>
      <c r="G85" s="8" t="inlineStr">
        <is>
          <t>Education</t>
        </is>
      </c>
      <c r="H85" s="8" t="inlineStr">
        <is>
          <t>Colourise black-and-white footage consistently</t>
        </is>
      </c>
      <c r="I85" s="8" t="inlineStr">
        <is>
          <t>About 8 s from 'Cleveland Fire Department' (American Mutoscope and Biograph, 1903): horse-drawn fire engines passing a distant crowd</t>
        </is>
      </c>
      <c r="J85" s="8" t="inlineStr">
        <is>
          <t>Add natural, period-plausible colour that stays consistent on every object across frames</t>
        </is>
      </c>
      <c r="K85" s="8" t="inlineStr">
        <is>
          <t>Colourise this black-and-white archival clip with natural, historically plausible colours. Colours must stay consistent on every object and person across all frames, with no flicker or colour bleeding across edges. Change nothing else.</t>
        </is>
      </c>
      <c r="L85" s="8" t="inlineStr">
        <is>
          <t>1) Plausible period colours  2) Per-object colour stable over time  3) No bleeding across edges  4) Detail and grain unchanged  5) No content changes</t>
        </is>
      </c>
      <c r="M85" s="8" t="inlineStr">
        <is>
          <t>Temporally consistent colourisation</t>
        </is>
      </c>
      <c r="N85" s="8" t="inlineStr">
        <is>
          <t>Documentary and heritage content</t>
        </is>
      </c>
      <c r="O85" s="8" t="inlineStr">
        <is>
          <t>No colour task before; EDIT-01 recoloured one object</t>
        </is>
      </c>
      <c r="P85" s="8" t="inlineStr">
        <is>
          <t>https://commons.wikimedia.org/wiki/File:Cleveland_Fire_Department,_1900-03.webm</t>
        </is>
      </c>
      <c r="Q85" s="8" t="inlineStr">
        <is>
          <t>Public domain (Library of Congress)</t>
        </is>
      </c>
      <c r="R85" s="8" t="inlineStr">
        <is>
          <t>Downloaded &amp; verified — input to prepare</t>
        </is>
      </c>
      <c r="S85" s="8" t="inlineStr">
        <is>
          <t>—</t>
        </is>
      </c>
      <c r="T85" s="8" t="inlineStr">
        <is>
          <t>Not run — proposed 2026-09-14</t>
        </is>
      </c>
      <c r="U85" s="8" t="inlineStr">
        <is>
          <t>Yes — pending your review</t>
        </is>
      </c>
      <c r="V85" s="8" t="inlineStr">
        <is>
          <t>—</t>
        </is>
      </c>
      <c r="W85" s="9">
        <f>IF(D85="Video Editing",Assumptions!$B$2+Assumptions!$B$3,IF(D85="Image-to-Video",Assumptions!$B$4+Assumptions!$B$5,""))</f>
        <v/>
      </c>
      <c r="X85" s="7" t="n"/>
      <c r="Y85" s="7" t="n"/>
    </row>
    <row r="86" ht="150" customHeight="1">
      <c r="A86" s="5" t="n">
        <v>85</v>
      </c>
      <c r="B86" s="8" t="inlineStr">
        <is>
          <t>New — proposed</t>
        </is>
      </c>
      <c r="C86" s="8" t="inlineStr">
        <is>
          <t>VID-POST-07</t>
        </is>
      </c>
      <c r="D86" s="8" t="inlineStr">
        <is>
          <t>Video Editing</t>
        </is>
      </c>
      <c r="E86" s="8" t="inlineStr">
        <is>
          <t>Post-production</t>
        </is>
      </c>
      <c r="F86" s="8" t="inlineStr">
        <is>
          <t>Action sports</t>
        </is>
      </c>
      <c r="G86" s="8" t="inlineStr">
        <is>
          <t>Vlogging, Dashcams</t>
        </is>
      </c>
      <c r="H86" s="8" t="inlineStr">
        <is>
          <t>Correct fisheye action-camera distortion</t>
        </is>
      </c>
      <c r="I86" s="8" t="inlineStr">
        <is>
          <t>0–8 s of full-face-helmet GoPro footage on a mountain-bike pump track, strong fisheye (clip ends before a crash at ~10 s)</t>
        </is>
      </c>
      <c r="J86" s="8" t="inlineStr">
        <is>
          <t>Make straight lines straight like a regular lens, keeping the scene and motion</t>
        </is>
      </c>
      <c r="K86" s="8" t="inlineStr">
        <is>
          <t>Correct the fisheye distortion in this action-camera clip so straight lines in the scene appear straight, like footage from a regular lens. Keep the full scene, the motion and the colours; do not stretch the edges or crop away the action.</t>
        </is>
      </c>
      <c r="L86" s="8" t="inlineStr">
        <is>
          <t>1) Straight lines straight (line curvature measurable)  2) No edge-stretch artefacts  3) Motion and timing unchanged  4) Minimal crop  5) Temporally stable</t>
        </is>
      </c>
      <c r="M86" s="8" t="inlineStr">
        <is>
          <t>Geometric correction of real footage</t>
        </is>
      </c>
      <c r="N86" s="8" t="inlineStr">
        <is>
          <t>Action sports, dashcam and vlog footage</t>
        </is>
      </c>
      <c r="O86" s="8" t="inlineStr">
        <is>
          <t>First geometric-distortion correction</t>
        </is>
      </c>
      <c r="P86" s="8" t="inlineStr">
        <is>
          <t>https://commons.wikimedia.org/wiki/File:Downhill_footage_taken_with_GoPro_on_a_Fullface_helmet_installed_with_NINJA_MOUNT.ogv</t>
        </is>
      </c>
      <c r="Q86" s="8" t="inlineStr">
        <is>
          <t>CC BY-SA 4.0</t>
        </is>
      </c>
      <c r="R86" s="8" t="inlineStr">
        <is>
          <t>Downloaded &amp; verified — input to prepare</t>
        </is>
      </c>
      <c r="S86" s="8" t="inlineStr">
        <is>
          <t>—</t>
        </is>
      </c>
      <c r="T86" s="8" t="inlineStr">
        <is>
          <t>Not run — proposed 2026-09-14</t>
        </is>
      </c>
      <c r="U86" s="8" t="inlineStr">
        <is>
          <t>Yes — pending your review</t>
        </is>
      </c>
      <c r="V86" s="8" t="inlineStr">
        <is>
          <t>—</t>
        </is>
      </c>
      <c r="W86" s="9">
        <f>IF(D86="Video Editing",Assumptions!$B$2+Assumptions!$B$3,IF(D86="Image-to-Video",Assumptions!$B$4+Assumptions!$B$5,""))</f>
        <v/>
      </c>
      <c r="X86" s="7" t="n"/>
      <c r="Y86" s="7" t="n"/>
    </row>
    <row r="87" ht="150" customHeight="1">
      <c r="A87" s="5" t="n">
        <v>86</v>
      </c>
      <c r="B87" s="8" t="inlineStr">
        <is>
          <t>New — proposed</t>
        </is>
      </c>
      <c r="C87" s="8" t="inlineStr">
        <is>
          <t>VID-POST-08</t>
        </is>
      </c>
      <c r="D87" s="8" t="inlineStr">
        <is>
          <t>Video Editing</t>
        </is>
      </c>
      <c r="E87" s="8" t="inlineStr">
        <is>
          <t>Post-production</t>
        </is>
      </c>
      <c r="F87" s="8" t="inlineStr">
        <is>
          <t>Retail displays &amp; Digital signage</t>
        </is>
      </c>
      <c r="G87" s="8" t="inlineStr">
        <is>
          <t>Web design</t>
        </is>
      </c>
      <c r="H87" s="8" t="inlineStr">
        <is>
          <t>Make a seamless loop</t>
        </is>
      </c>
      <c r="I87" s="8" t="inlineStr">
        <is>
          <t>9 s tripod shot of waves on a black-sand beach at Lækjavík, Iceland</t>
        </is>
      </c>
      <c r="J87" s="8" t="inlineStr">
        <is>
          <t>Make the last frame flow into the first with no visible jump</t>
        </is>
      </c>
      <c r="K87" s="8" t="inlineStr">
        <is>
          <t>Turn this clip into a seamless loop: the last frame must flow into the first with no visible jump, while the motion stays natural and nothing else in the scene changes.</t>
        </is>
      </c>
      <c r="L87" s="8" t="inlineStr">
        <is>
          <t>1) Invisible join (frame difference at the join matches neighbouring frames)  2) No reversed or boomerang motion  3) No morphing  4) Content unchanged</t>
        </is>
      </c>
      <c r="M87" s="8" t="inlineStr">
        <is>
          <t>Temporal continuity constrained at both ends</t>
        </is>
      </c>
      <c r="N87" s="8" t="inlineStr">
        <is>
          <t>Digital signage, website hero banners, in-store screens</t>
        </is>
      </c>
      <c r="O87" s="8" t="inlineStr">
        <is>
          <t>EDIT-06 extended forwards only; a loop constrains both ends</t>
        </is>
      </c>
      <c r="P87" s="8" t="inlineStr">
        <is>
          <t>https://commons.wikimedia.org/wiki/File:Ocean_waves_at_L%C3%A6kjavik_beach,_Iceland.webm</t>
        </is>
      </c>
      <c r="Q87" s="8" t="inlineStr">
        <is>
          <t>CC BY 3.0</t>
        </is>
      </c>
      <c r="R87" s="8" t="inlineStr">
        <is>
          <t>Downloaded &amp; verified — input to prepare</t>
        </is>
      </c>
      <c r="S87" s="8" t="inlineStr">
        <is>
          <t>—</t>
        </is>
      </c>
      <c r="T87" s="8" t="inlineStr">
        <is>
          <t>Not run — proposed 2026-09-14</t>
        </is>
      </c>
      <c r="U87" s="8" t="inlineStr">
        <is>
          <t>Yes — pending your review</t>
        </is>
      </c>
      <c r="V87" s="8" t="inlineStr">
        <is>
          <t>—</t>
        </is>
      </c>
      <c r="W87" s="9">
        <f>IF(D87="Video Editing",Assumptions!$B$2+Assumptions!$B$3,IF(D87="Image-to-Video",Assumptions!$B$4+Assumptions!$B$5,""))</f>
        <v/>
      </c>
      <c r="X87" s="7" t="n"/>
      <c r="Y87" s="7" t="n"/>
    </row>
    <row r="88" ht="150" customHeight="1">
      <c r="A88" s="5" t="n">
        <v>87</v>
      </c>
      <c r="B88" s="8" t="inlineStr">
        <is>
          <t>New — proposed</t>
        </is>
      </c>
      <c r="C88" s="8" t="inlineStr">
        <is>
          <t>VID-POST-09</t>
        </is>
      </c>
      <c r="D88" s="8" t="inlineStr">
        <is>
          <t>Video Editing</t>
        </is>
      </c>
      <c r="E88" s="8" t="inlineStr">
        <is>
          <t>Post-production</t>
        </is>
      </c>
      <c r="F88" s="8" t="inlineStr">
        <is>
          <t>Broadcast &amp; Streaming</t>
        </is>
      </c>
      <c r="G88" s="8" t="inlineStr">
        <is>
          <t>Archives</t>
        </is>
      </c>
      <c r="H88" s="8" t="inlineStr">
        <is>
          <t>Extend 4:3 archival footage to 16:9</t>
        </is>
      </c>
      <c r="I88" s="8" t="inlineStr">
        <is>
          <t>About 8 s of 4:3 NASA footage from 'Apollo 13 Launch and Post-Launch' (1970)</t>
        </is>
      </c>
      <c r="J88" s="8" t="inlineStr">
        <is>
          <t>Fill the sides to 16:9 with matching scenery; the original 4:3 picture stays untouched</t>
        </is>
      </c>
      <c r="K88" s="8" t="inlineStr">
        <is>
          <t>Extend this 4:3 archival clip to a 16:9 frame by filling the sides with scenery that matches the original — same era, lighting, film look and camera movement. The original 4:3 picture must stay untouched in the centre.</t>
        </is>
      </c>
      <c r="L88" s="8" t="inlineStr">
        <is>
          <t>1) 16:9 output  2) Centre 4:3 region unchanged  3) Side fills consistent with the scene and era  4) Invisible seams  5) Side content moves with the camera and subjects  6) No anachronisms</t>
        </is>
      </c>
      <c r="M88" s="8" t="inlineStr">
        <is>
          <t>Temporally consistent video outpainting</t>
        </is>
      </c>
      <c r="N88" s="8" t="inlineStr">
        <is>
          <t>Broadcasters remastering archives for widescreen streaming</t>
        </is>
      </c>
      <c r="O88" s="8" t="inlineStr">
        <is>
          <t>AD-06 generated a vertical variant; this keeps original pixels and extends sideways</t>
        </is>
      </c>
      <c r="P88" s="8" t="inlineStr">
        <is>
          <t>https://commons.wikimedia.org/wiki/File:Apollo_13_Launch_and_Post-Launch_(KSC-19700411-MH-NAS01-0001-Apollo_13_Launch_Post_Launch_with_Spiro_Agnew_and_Billie_Brandt_B_0664).webm</t>
        </is>
      </c>
      <c r="Q88" s="8" t="inlineStr">
        <is>
          <t>Public domain (NASA)</t>
        </is>
      </c>
      <c r="R88" s="8" t="inlineStr">
        <is>
          <t>Downloading (large file)</t>
        </is>
      </c>
      <c r="S88" s="8" t="inlineStr">
        <is>
          <t>Centre region = source (deterministic check)</t>
        </is>
      </c>
      <c r="T88" s="8" t="inlineStr">
        <is>
          <t>Not run — proposed 2026-09-14</t>
        </is>
      </c>
      <c r="U88" s="8" t="inlineStr">
        <is>
          <t>Yes — pending your review</t>
        </is>
      </c>
      <c r="V88" s="8" t="inlineStr">
        <is>
          <t>—</t>
        </is>
      </c>
      <c r="W88" s="9">
        <f>IF(D88="Video Editing",Assumptions!$B$2+Assumptions!$B$3,IF(D88="Image-to-Video",Assumptions!$B$4+Assumptions!$B$5,""))</f>
        <v/>
      </c>
      <c r="X88" s="7" t="n"/>
      <c r="Y88" s="7" t="n"/>
    </row>
    <row r="89" ht="150" customHeight="1">
      <c r="A89" s="5" t="n">
        <v>88</v>
      </c>
      <c r="B89" s="8" t="inlineStr">
        <is>
          <t>New — proposed</t>
        </is>
      </c>
      <c r="C89" s="8" t="inlineStr">
        <is>
          <t>VID-VFX-01</t>
        </is>
      </c>
      <c r="D89" s="8" t="inlineStr">
        <is>
          <t>Video Editing</t>
        </is>
      </c>
      <c r="E89" s="8" t="inlineStr">
        <is>
          <t>VFX &amp; compositing</t>
        </is>
      </c>
      <c r="F89" s="8" t="inlineStr">
        <is>
          <t>Sports sponsorship</t>
        </is>
      </c>
      <c r="G89" s="8" t="inlineStr">
        <is>
          <t>Broadcast</t>
        </is>
      </c>
      <c r="H89" s="8" t="inlineStr">
        <is>
          <t>Replace pitch-side advertising boards</t>
        </is>
      </c>
      <c r="I89" s="8" t="inlineStr">
        <is>
          <t>About 8 s from the stands at the 2021 FIFA Beach Soccer World Cup: LED boards reading FIFA BEACH SOCCER WORLD CUP RUSSIA 2021, players passing in front; handheld phone footage</t>
        </is>
      </c>
      <c r="J89" s="8" t="inlineStr">
        <is>
          <t>Replace board content with new tracked, occluded, motion-blurred advertising</t>
        </is>
      </c>
      <c r="K89" s="8" t="inlineStr">
        <is>
          <t>Replace the advertising on the pitch-side boards in this match clip with a plain green board reading GREEN ENERGY in white letters. The new boards must follow the camera movement and perspective, stay behind the players when they pass in front, and have the same lighting and motion blur as the rest of the shot. Change nothing else.</t>
        </is>
      </c>
      <c r="L89" s="8" t="inlineStr">
        <is>
          <t>1) All boards replaced  2) Text reads exactly GREEN ENERGY  3) Perspective and tracking locked  4) Players correctly in front of the boards  5) Blur and lighting matched  6) Nothing else changed</t>
        </is>
      </c>
      <c r="M89" s="8" t="inlineStr">
        <is>
          <t>Planar tracking, occlusion handling, in-scene text rendering</t>
        </is>
      </c>
      <c r="N89" s="8" t="inlineStr">
        <is>
          <t>Virtual advertising in sports broadcasts (regional sponsor swaps)</t>
        </is>
      </c>
      <c r="O89" s="8" t="inlineStr">
        <is>
          <t>EDIT-09 changed a 2D overlay; this replaces tracked in-scene surfaces with occlusion</t>
        </is>
      </c>
      <c r="P89" s="8" t="inlineStr">
        <is>
          <t>https://commons.wikimedia.org/wiki/File:2021-08-29_-_FIFA_Beach_Soccer_World_Cup_-_Match_32_-_Russian_Football_Union_v_Japan_-_The_last_minute.ogv</t>
        </is>
      </c>
      <c r="Q89" s="8" t="inlineStr">
        <is>
          <t>CC0</t>
        </is>
      </c>
      <c r="R89" s="8" t="inlineStr">
        <is>
          <t>Downloaded &amp; verified — input to prepare</t>
        </is>
      </c>
      <c r="S89" s="8" t="inlineStr">
        <is>
          <t>—</t>
        </is>
      </c>
      <c r="T89" s="8" t="inlineStr">
        <is>
          <t>Not run — proposed 2026-09-14</t>
        </is>
      </c>
      <c r="U89" s="8" t="inlineStr">
        <is>
          <t>Yes — pending your review</t>
        </is>
      </c>
      <c r="V89" s="8" t="inlineStr">
        <is>
          <t>Crowd faces small.</t>
        </is>
      </c>
      <c r="W89" s="9">
        <f>IF(D89="Video Editing",Assumptions!$B$2+Assumptions!$B$3,IF(D89="Image-to-Video",Assumptions!$B$4+Assumptions!$B$5,""))</f>
        <v/>
      </c>
      <c r="X89" s="7" t="n"/>
      <c r="Y89" s="7" t="n"/>
    </row>
    <row r="90" ht="150" customHeight="1">
      <c r="A90" s="5" t="n">
        <v>89</v>
      </c>
      <c r="B90" s="8" t="inlineStr">
        <is>
          <t>New — proposed</t>
        </is>
      </c>
      <c r="C90" s="8" t="inlineStr">
        <is>
          <t>VID-VFX-02</t>
        </is>
      </c>
      <c r="D90" s="8" t="inlineStr">
        <is>
          <t>Video Editing</t>
        </is>
      </c>
      <c r="E90" s="8" t="inlineStr">
        <is>
          <t>VFX &amp; compositing</t>
        </is>
      </c>
      <c r="F90" s="8" t="inlineStr">
        <is>
          <t>Live events</t>
        </is>
      </c>
      <c r="G90" s="8" t="inlineStr">
        <is>
          <t>Sports, Film</t>
        </is>
      </c>
      <c r="H90" s="8" t="inlineStr">
        <is>
          <t>Fill empty stands with a crowd</t>
        </is>
      </c>
      <c r="I90" s="8" t="inlineStr">
        <is>
          <t>Real clip of an empty stadium or arena with a moving camera, 6–10 s</t>
        </is>
      </c>
      <c r="J90" s="8" t="inlineStr">
        <is>
          <t>Populate seats with a tracked, varied, correctly scaled crowd</t>
        </is>
      </c>
      <c r="K90" s="8" t="inlineStr">
        <is>
          <t>Fill the empty seats in this stadium clip with a realistic crowd of spectators. The crowd must stay in the same seats as the camera moves, with natural small movements, correct scale, and lighting that matches the stands. Change nothing else.</t>
        </is>
      </c>
      <c r="L90" s="8" t="inlineStr">
        <is>
          <t>1) Seats filled  2) Crowd locked to seats under camera motion  3) Scale and perspective correct by distance  4) Varied people, no visible repetition  5) Lighting matched  6) Pitch and structures unchanged</t>
        </is>
      </c>
      <c r="M90" s="8" t="inlineStr">
        <is>
          <t>Large-scale multi-agent insertion tracked to 3D structure</t>
        </is>
      </c>
      <c r="N90" s="8" t="inlineStr">
        <is>
          <t>Sports and events broadcasting; film crowd extension</t>
        </is>
      </c>
      <c r="O90" s="8" t="inlineStr">
        <is>
          <t>EDIT-05 added one object; this populates thousands of tracked agents</t>
        </is>
      </c>
      <c r="P90" s="8" t="inlineStr">
        <is>
          <t>Wikimedia Commons (search running)</t>
        </is>
      </c>
      <c r="Q90" s="8" t="inlineStr">
        <is>
          <t>—</t>
        </is>
      </c>
      <c r="R90" s="8" t="inlineStr">
        <is>
          <t>NOT FOUND — see 'Sources not found'</t>
        </is>
      </c>
      <c r="S90" s="8" t="inlineStr">
        <is>
          <t>—</t>
        </is>
      </c>
      <c r="T90" s="8" t="inlineStr">
        <is>
          <t>Not run — proposed 2026-09-14</t>
        </is>
      </c>
      <c r="U90" s="8" t="inlineStr">
        <is>
          <t>Yes — pending your review</t>
        </is>
      </c>
      <c r="V90" s="8" t="inlineStr">
        <is>
          <t>—</t>
        </is>
      </c>
      <c r="W90" s="9">
        <f>IF(D90="Video Editing",Assumptions!$B$2+Assumptions!$B$3,IF(D90="Image-to-Video",Assumptions!$B$4+Assumptions!$B$5,""))</f>
        <v/>
      </c>
      <c r="X90" s="7" t="n"/>
      <c r="Y90" s="7" t="n"/>
    </row>
    <row r="91" ht="150" customHeight="1">
      <c r="A91" s="5" t="n">
        <v>90</v>
      </c>
      <c r="B91" s="8" t="inlineStr">
        <is>
          <t>New — proposed</t>
        </is>
      </c>
      <c r="C91" s="8" t="inlineStr">
        <is>
          <t>VID-VFX-03</t>
        </is>
      </c>
      <c r="D91" s="8" t="inlineStr">
        <is>
          <t>Video Editing</t>
        </is>
      </c>
      <c r="E91" s="8" t="inlineStr">
        <is>
          <t>VFX &amp; compositing</t>
        </is>
      </c>
      <c r="F91" s="8" t="inlineStr">
        <is>
          <t>Energy &amp; Utilities</t>
        </is>
      </c>
      <c r="G91" s="8" t="inlineStr">
        <is>
          <t>Real Estate, Heritage</t>
        </is>
      </c>
      <c r="H91" s="8" t="inlineStr">
        <is>
          <t>Remove power lines from a drone shot</t>
        </is>
      </c>
      <c r="I91" s="8" t="inlineStr">
        <is>
          <t>Real drone clip with overhead power lines and poles crossing the frame, 6–10 s</t>
        </is>
      </c>
      <c r="J91" s="8" t="inlineStr">
        <is>
          <t>Remove the wires and poles and rebuild the background with correct parallax</t>
        </is>
      </c>
      <c r="K91" s="8" t="inlineStr">
        <is>
          <t>Remove the overhead power lines and their poles from this drone shot. Rebuild the landscape and buildings behind them so the shot looks as if they were never there, as the camera keeps moving. Change nothing else.</t>
        </is>
      </c>
      <c r="L91" s="8" t="inlineStr">
        <is>
          <t>1) Wires and poles gone in every frame  2) Background rebuilt consistently with parallax  3) No smears or ghosts  4) Everything else unchanged  5) Temporally stable</t>
        </is>
      </c>
      <c r="M91" s="8" t="inlineStr">
        <is>
          <t>Thin-structure removal with parallax-correct inpainting</t>
        </is>
      </c>
      <c r="N91" s="8" t="inlineStr">
        <is>
          <t>Real estate, tourism and heritage drone clean-up</t>
        </is>
      </c>
      <c r="O91" s="8" t="inlineStr">
        <is>
          <t>The retired EDIT-02 targeted one object on a static camera; this removes thin structures spanning a moving aerial frame</t>
        </is>
      </c>
      <c r="P91" s="8" t="inlineStr">
        <is>
          <t>Wikimedia Commons (search running)</t>
        </is>
      </c>
      <c r="Q91" s="8" t="inlineStr">
        <is>
          <t>—</t>
        </is>
      </c>
      <c r="R91" s="8" t="inlineStr">
        <is>
          <t>NOT FOUND — see 'Sources not found'</t>
        </is>
      </c>
      <c r="S91" s="8" t="inlineStr">
        <is>
          <t>—</t>
        </is>
      </c>
      <c r="T91" s="8" t="inlineStr">
        <is>
          <t>Not run — proposed 2026-09-14</t>
        </is>
      </c>
      <c r="U91" s="8" t="inlineStr">
        <is>
          <t>Yes — pending your review</t>
        </is>
      </c>
      <c r="V91" s="8" t="inlineStr">
        <is>
          <t>—</t>
        </is>
      </c>
      <c r="W91" s="9">
        <f>IF(D91="Video Editing",Assumptions!$B$2+Assumptions!$B$3,IF(D91="Image-to-Video",Assumptions!$B$4+Assumptions!$B$5,""))</f>
        <v/>
      </c>
      <c r="X91" s="7" t="n"/>
      <c r="Y91" s="7" t="n"/>
    </row>
    <row r="92" ht="150" customHeight="1">
      <c r="A92" s="5" t="n">
        <v>91</v>
      </c>
      <c r="B92" s="8" t="inlineStr">
        <is>
          <t>New — proposed</t>
        </is>
      </c>
      <c r="C92" s="8" t="inlineStr">
        <is>
          <t>VID-VFX-04</t>
        </is>
      </c>
      <c r="D92" s="8" t="inlineStr">
        <is>
          <t>Video Editing</t>
        </is>
      </c>
      <c r="E92" s="8" t="inlineStr">
        <is>
          <t>VFX &amp; compositing</t>
        </is>
      </c>
      <c r="F92" s="8" t="inlineStr">
        <is>
          <t>Real Estate</t>
        </is>
      </c>
      <c r="G92" s="8" t="inlineStr">
        <is>
          <t>Interior design, Furniture retail</t>
        </is>
      </c>
      <c r="H92" s="8" t="inlineStr">
        <is>
          <t>Virtual staging of an empty room walk-through</t>
        </is>
      </c>
      <c r="I92" s="8" t="inlineStr">
        <is>
          <t>Real walk-through clip of an empty room, 6–10 s</t>
        </is>
      </c>
      <c r="J92" s="8" t="inlineStr">
        <is>
          <t>Add three furniture pieces at correct scale, locked to the floor, lit to match</t>
        </is>
      </c>
      <c r="K92" s="8" t="inlineStr">
        <is>
          <t>Stage this empty room: add a grey three-seater sofa against the back wall, a round wooden coffee table in front of it and a large neutral rug under both. The furniture must sit on the floor at the correct scale, stay fixed in place as the camera moves, and cast soft shadows that match the room's light. Change nothing else.</t>
        </is>
      </c>
      <c r="L92" s="8" t="inlineStr">
        <is>
          <t>1) Sofa, coffee table and rug present as described  2) Scale plausible against doors and windows  3) Locked to the floor under motion — no sliding  4) Shadows and light match  5) Correct occlusion between items  6) Room unchanged</t>
        </is>
      </c>
      <c r="M92" s="8" t="inlineStr">
        <is>
          <t>Multi-object 3D insertion with scale and lighting in a moving shot</t>
        </is>
      </c>
      <c r="N92" s="8" t="inlineStr">
        <is>
          <t>Virtual staging for property listings</t>
        </is>
      </c>
      <c r="O92" s="8" t="inlineStr">
        <is>
          <t>EDIT-05 placed one vase on a table; this stages a room with interacting objects under camera motion</t>
        </is>
      </c>
      <c r="P92" s="8" t="inlineStr">
        <is>
          <t>Wikimedia Commons (search running)</t>
        </is>
      </c>
      <c r="Q92" s="8" t="inlineStr">
        <is>
          <t>—</t>
        </is>
      </c>
      <c r="R92" s="8" t="inlineStr">
        <is>
          <t>NOT FOUND — see 'Sources not found'</t>
        </is>
      </c>
      <c r="S92" s="8" t="inlineStr">
        <is>
          <t>—</t>
        </is>
      </c>
      <c r="T92" s="8" t="inlineStr">
        <is>
          <t>Not run — proposed 2026-09-14</t>
        </is>
      </c>
      <c r="U92" s="8" t="inlineStr">
        <is>
          <t>Yes — pending your review</t>
        </is>
      </c>
      <c r="V92" s="8" t="inlineStr">
        <is>
          <t>Commons may lack empty-room walk-throughs.</t>
        </is>
      </c>
      <c r="W92" s="9">
        <f>IF(D92="Video Editing",Assumptions!$B$2+Assumptions!$B$3,IF(D92="Image-to-Video",Assumptions!$B$4+Assumptions!$B$5,""))</f>
        <v/>
      </c>
      <c r="X92" s="7" t="n"/>
      <c r="Y92" s="7" t="n"/>
    </row>
    <row r="93" ht="150" customHeight="1">
      <c r="A93" s="5" t="n">
        <v>92</v>
      </c>
      <c r="B93" s="8" t="inlineStr">
        <is>
          <t>New — proposed</t>
        </is>
      </c>
      <c r="C93" s="8" t="inlineStr">
        <is>
          <t>VID-VFX-05</t>
        </is>
      </c>
      <c r="D93" s="8" t="inlineStr">
        <is>
          <t>Video Editing</t>
        </is>
      </c>
      <c r="E93" s="8" t="inlineStr">
        <is>
          <t>VFX &amp; compositing</t>
        </is>
      </c>
      <c r="F93" s="8" t="inlineStr">
        <is>
          <t>Sports broadcast</t>
        </is>
      </c>
      <c r="G93" s="8" t="inlineStr">
        <is>
          <t>Golf, Cricket</t>
        </is>
      </c>
      <c r="H93" s="8" t="inlineStr">
        <is>
          <t>Add a ball-flight tracer</t>
        </is>
      </c>
      <c r="I93" s="8" t="inlineStr">
        <is>
          <t>Slow-motion golf practice swing at a driving range in Kanagawa, 2023</t>
        </is>
      </c>
      <c r="J93" s="8" t="inlineStr">
        <is>
          <t>Draw a tracer that follows the real ball path from impact</t>
        </is>
      </c>
      <c r="K93" s="8" t="inlineStr">
        <is>
          <t>Add a broadcast-style shot tracer to this golf clip: a smooth bright line that follows the ball from the moment it is struck along its real flight path, drawn behind the ball as it travels. Change nothing else in the shot.</t>
        </is>
      </c>
      <c r="L93" s="8" t="inlineStr">
        <is>
          <t>1) Tracer starts at impact  2) Follows the actual ball path  3) Smooth curve in correct perspective  4) No tracer before impact  5) Scene unchanged</t>
        </is>
      </c>
      <c r="M93" s="8" t="inlineStr">
        <is>
          <t>Tracking a small, fast object and compositing graphics to it</t>
        </is>
      </c>
      <c r="N93" s="8" t="inlineStr">
        <is>
          <t>Golf, cricket and baseball broadcast graphics</t>
        </is>
      </c>
      <c r="O93" s="8" t="inlineStr">
        <is>
          <t>First tracking-graphics task</t>
        </is>
      </c>
      <c r="P93" s="8" t="inlineStr">
        <is>
          <t>https://commons.wikimedia.org/wiki/File:Golf_swing_practice_-_Kanagawa_-_slow_motion_-_2023_June_13.webm</t>
        </is>
      </c>
      <c r="Q93" s="8" t="inlineStr">
        <is>
          <t>CC BY 4.0</t>
        </is>
      </c>
      <c r="R93" s="8" t="inlineStr">
        <is>
          <t>Downloaded &amp; verified — input to prepare</t>
        </is>
      </c>
      <c r="S93" s="8" t="inlineStr">
        <is>
          <t>Ball positions (manual annotation)</t>
        </is>
      </c>
      <c r="T93" s="8" t="inlineStr">
        <is>
          <t>Not run — proposed 2026-09-14</t>
        </is>
      </c>
      <c r="U93" s="8" t="inlineStr">
        <is>
          <t>Yes — pending your review</t>
        </is>
      </c>
      <c r="V93" s="8" t="inlineStr">
        <is>
          <t>Weak for broadcast realism: the ball flies about 10 m into a practice net. Tracer path is still checkable.</t>
        </is>
      </c>
      <c r="W93" s="9">
        <f>IF(D93="Video Editing",Assumptions!$B$2+Assumptions!$B$3,IF(D93="Image-to-Video",Assumptions!$B$4+Assumptions!$B$5,""))</f>
        <v/>
      </c>
      <c r="X93" s="7" t="n"/>
      <c r="Y93" s="7" t="n"/>
    </row>
    <row r="94" ht="150" customHeight="1">
      <c r="A94" s="5" t="n">
        <v>93</v>
      </c>
      <c r="B94" s="8" t="inlineStr">
        <is>
          <t>New — proposed</t>
        </is>
      </c>
      <c r="C94" s="8" t="inlineStr">
        <is>
          <t>VID-MOTION-01</t>
        </is>
      </c>
      <c r="D94" s="8" t="inlineStr">
        <is>
          <t>Image-to-Video</t>
        </is>
      </c>
      <c r="E94" s="8" t="inlineStr">
        <is>
          <t>Motion &amp; physics from a still</t>
        </is>
      </c>
      <c r="F94" s="8" t="inlineStr">
        <is>
          <t>Architecture &amp; Proptech</t>
        </is>
      </c>
      <c r="G94" s="8" t="inlineStr">
        <is>
          <t>Real Estate</t>
        </is>
      </c>
      <c r="H94" s="8" t="inlineStr">
        <is>
          <t>Floor plan → first-person walk-through</t>
        </is>
      </c>
      <c r="I94" s="8" t="inlineStr">
        <is>
          <t>Typical floor plan of the apartment house at 1785 Massachusetts Avenue, Washington DC (J. H. de Sibour, architect), with room labels</t>
        </is>
      </c>
      <c r="J94" s="8" t="inlineStr">
        <is>
          <t>Build a walk-through whose rooms, doors, windows and connections match the plan</t>
        </is>
      </c>
      <c r="K94" s="8" t="inlineStr">
        <is>
          <t>Using this floor plan, create a smooth first-person walk-through of the home: enter through the front door and walk through the rooms in a natural route. Room sizes, doors, windows and the connections between rooms must match the plan exactly. Furnish it simply in a modern style.</t>
        </is>
      </c>
      <c r="L94" s="8" t="inlineStr">
        <is>
          <t>1) Rooms visited exist in the plan  2) Room connections and door positions match  3) Proportions plausible against the plan  4) Windows on the correct walls  5) Continuous camera, no teleporting  6) Consistent style</t>
        </is>
      </c>
      <c r="M94" s="8" t="inlineStr">
        <is>
          <t>Interpreting a 2D plan as a 3D space</t>
        </is>
      </c>
      <c r="N94" s="8" t="inlineStr">
        <is>
          <t>Off-plan property marketing and proptech</t>
        </is>
      </c>
      <c r="O94" s="8" t="inlineStr">
        <is>
          <t>No 2D-to-3D interpretation scenario before</t>
        </is>
      </c>
      <c r="P94" s="8" t="inlineStr">
        <is>
          <t>https://commons.wikimedia.org/wiki/File:Typical_Floor_Plan%E2%80%94Apartment_House_at_1785_Massachusetts_Avenue.jpg</t>
        </is>
      </c>
      <c r="Q94" s="8" t="inlineStr">
        <is>
          <t>Public domain</t>
        </is>
      </c>
      <c r="R94" s="8" t="inlineStr">
        <is>
          <t>Downloaded &amp; verified — input to prepare</t>
        </is>
      </c>
      <c r="S94" s="8" t="inlineStr">
        <is>
          <t>The plan itself (room adjacency check)</t>
        </is>
      </c>
      <c r="T94" s="8" t="inlineStr">
        <is>
          <t>Not run — proposed 2026-09-14</t>
        </is>
      </c>
      <c r="U94" s="8" t="inlineStr">
        <is>
          <t>Yes — pending your review</t>
        </is>
      </c>
      <c r="V94" s="8" t="inlineStr">
        <is>
          <t>Input image is used as a reference, not a first frame.</t>
        </is>
      </c>
      <c r="W94" s="9">
        <f>IF(D94="Video Editing",Assumptions!$B$2+Assumptions!$B$3,IF(D94="Image-to-Video",Assumptions!$B$4+Assumptions!$B$5,""))</f>
        <v/>
      </c>
      <c r="X94" s="7" t="n"/>
      <c r="Y94" s="7" t="n"/>
    </row>
    <row r="95" ht="150" customHeight="1">
      <c r="A95" s="5" t="n">
        <v>94</v>
      </c>
      <c r="B95" s="8" t="inlineStr">
        <is>
          <t>New — proposed</t>
        </is>
      </c>
      <c r="C95" s="8" t="inlineStr">
        <is>
          <t>VID-MOTION-02</t>
        </is>
      </c>
      <c r="D95" s="8" t="inlineStr">
        <is>
          <t>Image-to-Video</t>
        </is>
      </c>
      <c r="E95" s="8" t="inlineStr">
        <is>
          <t>Motion &amp; physics from a still</t>
        </is>
      </c>
      <c r="F95" s="8" t="inlineStr">
        <is>
          <t>Healthcare</t>
        </is>
      </c>
      <c r="G95" s="8" t="inlineStr">
        <is>
          <t>Medical education</t>
        </is>
      </c>
      <c r="H95" s="8" t="inlineStr">
        <is>
          <t>Anatomy diagram → accurate heartbeat animation</t>
        </is>
      </c>
      <c r="I95" s="8" t="inlineStr">
        <is>
          <t>Hand-drawn labelled heart diagram ('THE HEART') with oxygenated/deoxygenated flow arrows and valve labels</t>
        </is>
      </c>
      <c r="J95" s="8" t="inlineStr">
        <is>
          <t>Animate a medically correct contraction sequence and blood flow; labels and style fixed</t>
        </is>
      </c>
      <c r="K95" s="8" t="inlineStr">
        <is>
          <t>Animate this anatomical diagram of the heart as a medically accurate heartbeat: the atria contract first, then the ventricles, with blood flow shown in the correct direction through the valves. Keep the diagram's style, colours and labels exactly as they are.</t>
        </is>
      </c>
      <c r="L95" s="8" t="inlineStr">
        <is>
          <t>1) Atria contract before ventricles  2) Blood flow direction correct through the valves  3) Labels legible and fixed  4) Diagram style unchanged  5) No anatomical distortion</t>
        </is>
      </c>
      <c r="M95" s="8" t="inlineStr">
        <is>
          <t>Domain-accurate process animation with label stability</t>
        </is>
      </c>
      <c r="N95" s="8" t="inlineStr">
        <is>
          <t>Medical education, patient information, e-learning</t>
        </is>
      </c>
      <c r="O95" s="8" t="inlineStr">
        <is>
          <t>No scientific-accuracy scenario before</t>
        </is>
      </c>
      <c r="P95" s="8" t="inlineStr">
        <is>
          <t>https://commons.wikimedia.org/wiki/File:Diagram_of_the_Human_Heart.jpg</t>
        </is>
      </c>
      <c r="Q95" s="8" t="inlineStr">
        <is>
          <t>CC BY 4.0</t>
        </is>
      </c>
      <c r="R95" s="8" t="inlineStr">
        <is>
          <t>Downloaded &amp; verified — input to prepare</t>
        </is>
      </c>
      <c r="S95" s="8" t="inlineStr">
        <is>
          <t>—</t>
        </is>
      </c>
      <c r="T95" s="8" t="inlineStr">
        <is>
          <t>Not run — proposed 2026-09-14</t>
        </is>
      </c>
      <c r="U95" s="8" t="inlineStr">
        <is>
          <t>Yes — pending your review</t>
        </is>
      </c>
      <c r="V95" s="8" t="inlineStr">
        <is>
          <t>Accuracy needs a clinician's sign-off for the rubric.</t>
        </is>
      </c>
      <c r="W95" s="9">
        <f>IF(D95="Video Editing",Assumptions!$B$2+Assumptions!$B$3,IF(D95="Image-to-Video",Assumptions!$B$4+Assumptions!$B$5,""))</f>
        <v/>
      </c>
      <c r="X95" s="7" t="n"/>
      <c r="Y95" s="7" t="n"/>
    </row>
    <row r="96" ht="150" customHeight="1">
      <c r="A96" s="5" t="n">
        <v>95</v>
      </c>
      <c r="B96" s="8" t="inlineStr">
        <is>
          <t>New — proposed</t>
        </is>
      </c>
      <c r="C96" s="8" t="inlineStr">
        <is>
          <t>VID-MOTION-03</t>
        </is>
      </c>
      <c r="D96" s="8" t="inlineStr">
        <is>
          <t>Image-to-Video</t>
        </is>
      </c>
      <c r="E96" s="8" t="inlineStr">
        <is>
          <t>Motion &amp; physics from a still</t>
        </is>
      </c>
      <c r="F96" s="8" t="inlineStr">
        <is>
          <t>Food &amp; Beverage</t>
        </is>
      </c>
      <c r="G96" s="8" t="inlineStr">
        <is>
          <t>Advertising</t>
        </is>
      </c>
      <c r="H96" s="8" t="inlineStr">
        <is>
          <t>Syrup poured over a pancake stack</t>
        </is>
      </c>
      <c r="I96" s="8" t="inlineStr">
        <is>
          <t>Real photo of a pancake stack with powdered sugar on a blue plate, a fruit bowl and a syrup bottle beside it</t>
        </is>
      </c>
      <c r="J96" s="8" t="inlineStr">
        <is>
          <t>Pour viscous syrup that spreads, drips and pools; the food does not change</t>
        </is>
      </c>
      <c r="K96" s="8" t="inlineStr">
        <is>
          <t>Starting from this photo, syrup is poured slowly from above onto the top of the pancake stack. It spreads, drips over the edges and runs down the sides with a thick, sticky flow, pooling on the plate. The pancakes and plate stay exactly as they are.</t>
        </is>
      </c>
      <c r="L96" s="8" t="inlineStr">
        <is>
          <t>1) Viscous, sheet-like flow — not water-like  2) Dripping and pooling follow gravity and the surface  3) Syrup reflects light and covers the food correctly  4) Food and plate unchanged  5) Continuous</t>
        </is>
      </c>
      <c r="M96" s="8" t="inlineStr">
        <is>
          <t>Viscous fluid interacting with a real surface</t>
        </is>
      </c>
      <c r="N96" s="8" t="inlineStr">
        <is>
          <t>Food and beverage advertising</t>
        </is>
      </c>
      <c r="O96" s="8" t="inlineStr">
        <is>
          <t>PHY-02 poured water in text-to-video; this is a thick fluid on a real food photo</t>
        </is>
      </c>
      <c r="P96" s="8" t="inlineStr">
        <is>
          <t>https://commons.wikimedia.org/wiki/File:NY_breakfast_02.jpg</t>
        </is>
      </c>
      <c r="Q96" s="8" t="inlineStr">
        <is>
          <t>CC BY-SA 4.0</t>
        </is>
      </c>
      <c r="R96" s="8" t="inlineStr">
        <is>
          <t>Downloaded &amp; verified — input to prepare</t>
        </is>
      </c>
      <c r="S96" s="8" t="inlineStr">
        <is>
          <t>—</t>
        </is>
      </c>
      <c r="T96" s="8" t="inlineStr">
        <is>
          <t>Not run — proposed 2026-09-14</t>
        </is>
      </c>
      <c r="U96" s="8" t="inlineStr">
        <is>
          <t>Yes — pending your review</t>
        </is>
      </c>
      <c r="V96" s="8" t="inlineStr">
        <is>
          <t>—</t>
        </is>
      </c>
      <c r="W96" s="9">
        <f>IF(D96="Video Editing",Assumptions!$B$2+Assumptions!$B$3,IF(D96="Image-to-Video",Assumptions!$B$4+Assumptions!$B$5,""))</f>
        <v/>
      </c>
      <c r="X96" s="7" t="n"/>
      <c r="Y96" s="7" t="n"/>
    </row>
    <row r="97" ht="150" customHeight="1">
      <c r="A97" s="5" t="n">
        <v>96</v>
      </c>
      <c r="B97" s="8" t="inlineStr">
        <is>
          <t>New — proposed</t>
        </is>
      </c>
      <c r="C97" s="8" t="inlineStr">
        <is>
          <t>VID-MOTION-04</t>
        </is>
      </c>
      <c r="D97" s="8" t="inlineStr">
        <is>
          <t>Image-to-Video</t>
        </is>
      </c>
      <c r="E97" s="8" t="inlineStr">
        <is>
          <t>Motion &amp; physics from a still</t>
        </is>
      </c>
      <c r="F97" s="8" t="inlineStr">
        <is>
          <t>Fashion &amp; Apparel</t>
        </is>
      </c>
      <c r="G97" s="8" t="inlineStr">
        <is>
          <t>E-commerce</t>
        </is>
      </c>
      <c r="H97" s="8" t="inlineStr">
        <is>
          <t>Product garment photo → worn on a walking model</t>
        </is>
      </c>
      <c r="I97" s="8" t="inlineStr">
        <is>
          <t>Real product photo of a single garment with a distinctive pattern</t>
        </is>
      </c>
      <c r="J97" s="8" t="inlineStr">
        <is>
          <t>Show the exact garment worn and moving naturally on a model walking a studio runway</t>
        </is>
      </c>
      <c r="K97" s="8" t="inlineStr">
        <is>
          <t>Show this exact garment worn by a model walking towards the camera on a plain studio runway. The garment's colours, pattern, cut, length and details must match the photo exactly, and the fabric must move naturally with the walk.</t>
        </is>
      </c>
      <c r="L97" s="8" t="inlineStr">
        <is>
          <t>1) Garment fidelity: pattern, colour, cut, length, details  2) Natural drape and movement  3) Consistent across frames  4) Natural gait  5) No invented logos or text</t>
        </is>
      </c>
      <c r="M97" s="8" t="inlineStr">
        <is>
          <t>Transferring a flat product garment onto a moving body</t>
        </is>
      </c>
      <c r="N97" s="8" t="inlineStr">
        <is>
          <t>Product-page videos for fashion e-commerce</t>
        </is>
      </c>
      <c r="O97" s="8" t="inlineStr">
        <is>
          <t>VID-I2V-04 moved a character reference; this transfers a product garment onto a new body</t>
        </is>
      </c>
      <c r="P97" s="8" t="inlineStr">
        <is>
          <t>Wikimedia Commons (candidates found — selecting)</t>
        </is>
      </c>
      <c r="Q97" s="8" t="inlineStr">
        <is>
          <t>—</t>
        </is>
      </c>
      <c r="R97" s="8" t="inlineStr">
        <is>
          <t>NOT FOUND — see 'Sources not found'</t>
        </is>
      </c>
      <c r="S97" s="8" t="inlineStr">
        <is>
          <t>—</t>
        </is>
      </c>
      <c r="T97" s="8" t="inlineStr">
        <is>
          <t>Not run — proposed 2026-09-14</t>
        </is>
      </c>
      <c r="U97" s="8" t="inlineStr">
        <is>
          <t>Yes — pending your review</t>
        </is>
      </c>
      <c r="V97" s="8" t="inlineStr">
        <is>
          <t>Input used as a reference, not a first frame.</t>
        </is>
      </c>
      <c r="W97" s="9">
        <f>IF(D97="Video Editing",Assumptions!$B$2+Assumptions!$B$3,IF(D97="Image-to-Video",Assumptions!$B$4+Assumptions!$B$5,""))</f>
        <v/>
      </c>
      <c r="X97" s="7" t="n"/>
      <c r="Y97" s="7" t="n"/>
    </row>
    <row r="98" ht="150" customHeight="1">
      <c r="A98" s="5" t="n">
        <v>97</v>
      </c>
      <c r="B98" s="8" t="inlineStr">
        <is>
          <t>New — proposed</t>
        </is>
      </c>
      <c r="C98" s="8" t="inlineStr">
        <is>
          <t>VID-MOTION-05</t>
        </is>
      </c>
      <c r="D98" s="8" t="inlineStr">
        <is>
          <t>Image-to-Video</t>
        </is>
      </c>
      <c r="E98" s="8" t="inlineStr">
        <is>
          <t>Motion &amp; physics from a still</t>
        </is>
      </c>
      <c r="F98" s="8" t="inlineStr">
        <is>
          <t>Manufacturing</t>
        </is>
      </c>
      <c r="G98" s="8" t="inlineStr">
        <is>
          <t>Robotics, Training</t>
        </is>
      </c>
      <c r="H98" s="8" t="inlineStr">
        <is>
          <t>Industrial robot arm performs one work cycle</t>
        </is>
      </c>
      <c r="I98" s="8" t="inlineStr">
        <is>
          <t>Real photo of an industrial robot arm in a factory cell</t>
        </is>
      </c>
      <c r="J98" s="8" t="inlineStr">
        <is>
          <t>Run one pick-and-place cycle with rigid-link, joint-limited motion</t>
        </is>
      </c>
      <c r="K98" s="8" t="inlineStr">
        <is>
          <t>Starting from this photo, the industrial robot performs one realistic work cycle: it moves to a part, picks it up and places it in a new position, then returns. Its joints must rotate like a real rigid machine — no bending or stretching — and the rest of the factory stays still.</t>
        </is>
      </c>
      <c r="L98" s="8" t="inlineStr">
        <is>
          <t>1) Rigid links, joint-limited rotation  2) Gripper contact plausible  3) Part moves with the gripper  4) Robot design unchanged  5) Background static</t>
        </is>
      </c>
      <c r="M98" s="8" t="inlineStr">
        <is>
          <t>Articulated rigid-body kinematics</t>
        </is>
      </c>
      <c r="N98" s="8" t="inlineStr">
        <is>
          <t>Manufacturing marketing and operator training</t>
        </is>
      </c>
      <c r="O98" s="8" t="inlineStr">
        <is>
          <t>PHY-09 was a human hand in text-to-video; this is machine kinematics from a real photo</t>
        </is>
      </c>
      <c r="P98" s="8" t="inlineStr">
        <is>
          <t>Wikimedia Commons (candidates found — selecting)</t>
        </is>
      </c>
      <c r="Q98" s="8" t="inlineStr">
        <is>
          <t>—</t>
        </is>
      </c>
      <c r="R98" s="8" t="inlineStr">
        <is>
          <t>Weak candidate — replacement being checked</t>
        </is>
      </c>
      <c r="S98" s="8" t="inlineStr">
        <is>
          <t>—</t>
        </is>
      </c>
      <c r="T98" s="8" t="inlineStr">
        <is>
          <t>Not run — proposed 2026-09-14</t>
        </is>
      </c>
      <c r="U98" s="8" t="inlineStr">
        <is>
          <t>Yes — pending your review</t>
        </is>
      </c>
      <c r="V98" s="8" t="inlineStr">
        <is>
          <t>First candidate shows the robot small inside a machine enclosure; checking a clearer industrial-robot photo.</t>
        </is>
      </c>
      <c r="W98" s="9">
        <f>IF(D98="Video Editing",Assumptions!$B$2+Assumptions!$B$3,IF(D98="Image-to-Video",Assumptions!$B$4+Assumptions!$B$5,""))</f>
        <v/>
      </c>
      <c r="X98" s="7" t="n"/>
      <c r="Y98" s="7" t="n"/>
    </row>
    <row r="99" ht="150" customHeight="1">
      <c r="A99" s="5" t="n">
        <v>98</v>
      </c>
      <c r="B99" s="8" t="inlineStr">
        <is>
          <t>New — proposed</t>
        </is>
      </c>
      <c r="C99" s="8" t="inlineStr">
        <is>
          <t>VID-MOTION-06</t>
        </is>
      </c>
      <c r="D99" s="8" t="inlineStr">
        <is>
          <t>Image-to-Video</t>
        </is>
      </c>
      <c r="E99" s="8" t="inlineStr">
        <is>
          <t>Motion &amp; physics from a still</t>
        </is>
      </c>
      <c r="F99" s="8" t="inlineStr">
        <is>
          <t>Music</t>
        </is>
      </c>
      <c r="G99" s="8" t="inlineStr">
        <is>
          <t>Instrument retail</t>
        </is>
      </c>
      <c r="H99" s="8" t="inlineStr">
        <is>
          <t>Drum kit → performance in sync with generated audio</t>
        </is>
      </c>
      <c r="I99" s="8" t="inlineStr">
        <is>
          <t>Real photo of a drum kit alone on a stage (no drummer)</t>
        </is>
      </c>
      <c r="J99" s="8" t="inlineStr">
        <is>
          <t>A drummer plays a beat; every visible hit lands exactly when its sound is heard</t>
        </is>
      </c>
      <c r="K99" s="8" t="inlineStr">
        <is>
          <t>Starting from this photo, a drummer sits at this drum kit and plays a steady rock beat. Each stick hit must land on the right drum or cymbal exactly when its sound is heard, and the cymbals must move when struck. The drum kit itself must not change.</t>
        </is>
      </c>
      <c r="L99" s="8" t="inlineStr">
        <is>
          <t>1) Hits align with audio onsets  2) The struck drum matches the sound (kick, snare, hi-hat)  3) Cymbals move when struck  4) Kit unchanged  5) Plausible posture</t>
        </is>
      </c>
      <c r="M99" s="8" t="inlineStr">
        <is>
          <t>Audio-visual synchronisation with generated audio</t>
        </is>
      </c>
      <c r="N99" s="8" t="inlineStr">
        <is>
          <t>Music and instrument-retail marketing</t>
        </is>
      </c>
      <c r="O99" s="8" t="inlineStr">
        <is>
          <t>Audio is on in this study but only lip-sync scenarios test sound-to-motion alignment</t>
        </is>
      </c>
      <c r="P99" s="8" t="inlineStr">
        <is>
          <t>https://commons.wikimedia.org/wiki/File:Drumstick_Chang%27s_drum_kit_on_the_stage_20210501a.jpg</t>
        </is>
      </c>
      <c r="Q99" s="8" t="inlineStr">
        <is>
          <t>CC BY-SA 4.0</t>
        </is>
      </c>
      <c r="R99" s="8" t="inlineStr">
        <is>
          <t>Downloaded &amp; verified — input to prepare</t>
        </is>
      </c>
      <c r="S99" s="8" t="inlineStr">
        <is>
          <t>Audio onset timing (measurable)</t>
        </is>
      </c>
      <c r="T99" s="8" t="inlineStr">
        <is>
          <t>Not run — proposed 2026-09-14</t>
        </is>
      </c>
      <c r="U99" s="8" t="inlineStr">
        <is>
          <t>Yes — pending your review</t>
        </is>
      </c>
      <c r="V99" s="8" t="inlineStr">
        <is>
          <t>Audio must be on for both arms.</t>
        </is>
      </c>
      <c r="W99" s="9">
        <f>IF(D99="Video Editing",Assumptions!$B$2+Assumptions!$B$3,IF(D99="Image-to-Video",Assumptions!$B$4+Assumptions!$B$5,""))</f>
        <v/>
      </c>
      <c r="X99" s="7" t="n"/>
      <c r="Y99" s="7" t="n"/>
    </row>
    <row r="100" ht="150" customHeight="1">
      <c r="A100" s="5" t="n">
        <v>99</v>
      </c>
      <c r="B100" s="8" t="inlineStr">
        <is>
          <t>New — proposed</t>
        </is>
      </c>
      <c r="C100" s="8" t="inlineStr">
        <is>
          <t>VID-MOTION-07</t>
        </is>
      </c>
      <c r="D100" s="8" t="inlineStr">
        <is>
          <t>Image-to-Video</t>
        </is>
      </c>
      <c r="E100" s="8" t="inlineStr">
        <is>
          <t>Motion &amp; physics from a still</t>
        </is>
      </c>
      <c r="F100" s="8" t="inlineStr">
        <is>
          <t>Agriculture</t>
        </is>
      </c>
      <c r="G100" s="8" t="inlineStr">
        <is>
          <t>Agritech</t>
        </is>
      </c>
      <c r="H100" s="8" t="inlineStr">
        <is>
          <t>Combine harvester cuts a swath through the field</t>
        </is>
      </c>
      <c r="I100" s="8" t="inlineStr">
        <is>
          <t>Real photo of a Claas Lexion 580 combine harvester at the edge of a wheat field, cut and standing crop both visible</t>
        </is>
      </c>
      <c r="J100" s="8" t="inlineStr">
        <is>
          <t>Drive forward cutting crop, leaving a persistent cut edge and blowing chaff</t>
        </is>
      </c>
      <c r="K100" s="8" t="inlineStr">
        <is>
          <t>Starting from this photo, the combine harvester drives forward through the field, cutting the standing crop in a straight swath, with chaff blowing from the back and a clean cut edge left behind. The machine's shape and colours stay exactly the same.</t>
        </is>
      </c>
      <c r="L100" s="8" t="inlineStr">
        <is>
          <t>1) Machine moves forward  2) Cut crop stays cut — clean boundary against standing crop  3) Plausible chaff ejection  4) Machine unchanged  5) Wheel rotation matches speed</t>
        </is>
      </c>
      <c r="M100" s="8" t="inlineStr">
        <is>
          <t>Machine–material interaction with persistent state change</t>
        </is>
      </c>
      <c r="N100" s="8" t="inlineStr">
        <is>
          <t>Agricultural machinery and agritech marketing</t>
        </is>
      </c>
      <c r="O100" s="8" t="inlineStr">
        <is>
          <t>No scenario required a persistent change to the environment</t>
        </is>
      </c>
      <c r="P100" s="8" t="inlineStr">
        <is>
          <t>https://commons.wikimedia.org/wiki/File:Claas_Lexion_580_2026_G1.jpg</t>
        </is>
      </c>
      <c r="Q100" s="8" t="inlineStr">
        <is>
          <t>CC BY 4.0</t>
        </is>
      </c>
      <c r="R100" s="8" t="inlineStr">
        <is>
          <t>Downloaded &amp; verified — input to prepare</t>
        </is>
      </c>
      <c r="S100" s="8" t="inlineStr">
        <is>
          <t>—</t>
        </is>
      </c>
      <c r="T100" s="8" t="inlineStr">
        <is>
          <t>Not run — proposed 2026-09-14</t>
        </is>
      </c>
      <c r="U100" s="8" t="inlineStr">
        <is>
          <t>Yes — pending your review</t>
        </is>
      </c>
      <c r="V100" s="8" t="inlineStr">
        <is>
          <t>—</t>
        </is>
      </c>
      <c r="W100" s="9">
        <f>IF(D100="Video Editing",Assumptions!$B$2+Assumptions!$B$3,IF(D100="Image-to-Video",Assumptions!$B$4+Assumptions!$B$5,""))</f>
        <v/>
      </c>
      <c r="X100" s="7" t="n"/>
      <c r="Y100" s="7" t="n"/>
    </row>
    <row r="101" ht="150" customHeight="1">
      <c r="A101" s="5" t="n">
        <v>100</v>
      </c>
      <c r="B101" s="8" t="inlineStr">
        <is>
          <t>New — proposed</t>
        </is>
      </c>
      <c r="C101" s="8" t="inlineStr">
        <is>
          <t>VID-MOTION-08</t>
        </is>
      </c>
      <c r="D101" s="8" t="inlineStr">
        <is>
          <t>Image-to-Video</t>
        </is>
      </c>
      <c r="E101" s="8" t="inlineStr">
        <is>
          <t>Motion &amp; physics from a still</t>
        </is>
      </c>
      <c r="F101" s="8" t="inlineStr">
        <is>
          <t>Museums &amp; Culture</t>
        </is>
      </c>
      <c r="G101" s="8" t="inlineStr">
        <is>
          <t>Education</t>
        </is>
      </c>
      <c r="H101" s="8" t="inlineStr">
        <is>
          <t>Living painting that stays a painting</t>
        </is>
      </c>
      <c r="I101" s="8" t="inlineStr">
        <is>
          <t>Aelbert Cuyp, 'The Maas at Dordrecht', c. 1650: sailing boats, calm water, clouds, small figures</t>
        </is>
      </c>
      <c r="J101" s="8" t="inlineStr">
        <is>
          <t>Gentle motion while brushwork, colour and composition stay faithful to the painting</t>
        </is>
      </c>
      <c r="K101" s="8" t="inlineStr">
        <is>
          <t>Bring this painting gently to life: water ripples, clouds drift and small figures move slightly, while every brushstroke, colour and the composition stay faithful to the original painting. It must still look like a painting, not a photograph.</t>
        </is>
      </c>
      <c r="L101" s="8" t="inlineStr">
        <is>
          <t>1) Painterly medium preserved — no photoreal drift  2) Motion limited and plausible  3) Composition unchanged  4) Brushwork texture consistent frame to frame  5) No new elements</t>
        </is>
      </c>
      <c r="M101" s="8" t="inlineStr">
        <is>
          <t>Style-locked animation of artwork</t>
        </is>
      </c>
      <c r="N101" s="8" t="inlineStr">
        <is>
          <t>Museums, cultural institutions, education</t>
        </is>
      </c>
      <c r="O101" s="8" t="inlineStr">
        <is>
          <t>VID-I2V-01 animated a photo; this must preserve a painted medium</t>
        </is>
      </c>
      <c r="P101" s="8" t="inlineStr">
        <is>
          <t>https://commons.wikimedia.org/wiki/File:Aelbert_Cuyp,_The_Maas_at_Dordrecht,_c._1650,_NGA_576.jpg</t>
        </is>
      </c>
      <c r="Q101" s="8" t="inlineStr">
        <is>
          <t>CC0 (National Gallery of Art)</t>
        </is>
      </c>
      <c r="R101" s="8" t="inlineStr">
        <is>
          <t>Downloaded &amp; verified — input to prepare</t>
        </is>
      </c>
      <c r="S101" s="8" t="inlineStr">
        <is>
          <t>—</t>
        </is>
      </c>
      <c r="T101" s="8" t="inlineStr">
        <is>
          <t>Not run — proposed 2026-09-14</t>
        </is>
      </c>
      <c r="U101" s="8" t="inlineStr">
        <is>
          <t>Yes — pending your review</t>
        </is>
      </c>
      <c r="V101" s="8" t="inlineStr">
        <is>
          <t>—</t>
        </is>
      </c>
      <c r="W101" s="9">
        <f>IF(D101="Video Editing",Assumptions!$B$2+Assumptions!$B$3,IF(D101="Image-to-Video",Assumptions!$B$4+Assumptions!$B$5,""))</f>
        <v/>
      </c>
      <c r="X101" s="7" t="n"/>
      <c r="Y101" s="7" t="n"/>
    </row>
    <row r="102" ht="150" customHeight="1">
      <c r="A102" s="5" t="n">
        <v>101</v>
      </c>
      <c r="B102" s="8" t="inlineStr">
        <is>
          <t>New — proposed</t>
        </is>
      </c>
      <c r="C102" s="8" t="inlineStr">
        <is>
          <t>VID-MOTION-09</t>
        </is>
      </c>
      <c r="D102" s="8" t="inlineStr">
        <is>
          <t>Image-to-Video</t>
        </is>
      </c>
      <c r="E102" s="8" t="inlineStr">
        <is>
          <t>Motion &amp; physics from a still</t>
        </is>
      </c>
      <c r="F102" s="8" t="inlineStr">
        <is>
          <t>Nature &amp; Wildlife</t>
        </is>
      </c>
      <c r="G102" s="8" t="inlineStr">
        <is>
          <t>Documentary, Tourism</t>
        </is>
      </c>
      <c r="H102" s="8" t="inlineStr">
        <is>
          <t>Bird takes off and flies away</t>
        </is>
      </c>
      <c r="I102" s="8" t="inlineStr">
        <is>
          <t>Real photo of a carrion crow perched on a branch</t>
        </is>
      </c>
      <c r="J102" s="8" t="inlineStr">
        <is>
          <t>Take off and fly out of frame with species-correct wing mechanics</t>
        </is>
      </c>
      <c r="K102" s="8" t="inlineStr">
        <is>
          <t>Starting from this photo, the bird takes off from where it is standing and flies out of frame. Its wing beats, body posture and feathers must look like a real bird of this species in flight. The background stays still.</t>
        </is>
      </c>
      <c r="L102" s="8" t="inlineStr">
        <is>
          <t>1) Species appearance preserved  2) Plausible take-off: crouch, push-off, downstroke  3) Anatomically correct wing shape  4) Background unchanged  5) No extra limbs or morphing</t>
        </is>
      </c>
      <c r="M102" s="8" t="inlineStr">
        <is>
          <t>Animal locomotion realism</t>
        </is>
      </c>
      <c r="N102" s="8" t="inlineStr">
        <is>
          <t>Nature documentary, wildlife education, tourism</t>
        </is>
      </c>
      <c r="O102" s="8" t="inlineStr">
        <is>
          <t>No animal locomotion scenario before</t>
        </is>
      </c>
      <c r="P102" s="8" t="inlineStr">
        <is>
          <t>https://commons.wikimedia.org/wiki/File:Carrion_crow_perched_on_a_branch_02.jpg</t>
        </is>
      </c>
      <c r="Q102" s="8" t="inlineStr">
        <is>
          <t>CC BY 4.0</t>
        </is>
      </c>
      <c r="R102" s="8" t="inlineStr">
        <is>
          <t>Downloaded &amp; verified — input to prepare</t>
        </is>
      </c>
      <c r="S102" s="8" t="inlineStr">
        <is>
          <t>—</t>
        </is>
      </c>
      <c r="T102" s="8" t="inlineStr">
        <is>
          <t>Not run — proposed 2026-09-14</t>
        </is>
      </c>
      <c r="U102" s="8" t="inlineStr">
        <is>
          <t>Yes — pending your review</t>
        </is>
      </c>
      <c r="V102" s="8" t="inlineStr">
        <is>
          <t>—</t>
        </is>
      </c>
      <c r="W102" s="9">
        <f>IF(D102="Video Editing",Assumptions!$B$2+Assumptions!$B$3,IF(D102="Image-to-Video",Assumptions!$B$4+Assumptions!$B$5,""))</f>
        <v/>
      </c>
      <c r="X102" s="7" t="n"/>
      <c r="Y102" s="7" t="n"/>
    </row>
    <row r="103" ht="150" customHeight="1">
      <c r="A103" s="5" t="n">
        <v>102</v>
      </c>
      <c r="B103" s="8" t="inlineStr">
        <is>
          <t>New — proposed</t>
        </is>
      </c>
      <c r="C103" s="8" t="inlineStr">
        <is>
          <t>VID-MOTION-10</t>
        </is>
      </c>
      <c r="D103" s="8" t="inlineStr">
        <is>
          <t>Image-to-Video</t>
        </is>
      </c>
      <c r="E103" s="8" t="inlineStr">
        <is>
          <t>Motion &amp; physics from a still</t>
        </is>
      </c>
      <c r="F103" s="8" t="inlineStr">
        <is>
          <t>EdTech</t>
        </is>
      </c>
      <c r="G103" s="8" t="inlineStr">
        <is>
          <t>Corporate training</t>
        </is>
      </c>
      <c r="H103" s="8" t="inlineStr">
        <is>
          <t>Diagram → hand-drawn explainer, ending on the exact diagram</t>
        </is>
      </c>
      <c r="I103" s="8" t="inlineStr">
        <is>
          <t>NASA 'The Water Cycle' diagram, 16:9, with labels — used as the last frame</t>
        </is>
      </c>
      <c r="J103" s="8" t="inlineStr">
        <is>
          <t>Start from a blank page and draw the diagram on stroke by stroke, ending exactly on the input</t>
        </is>
      </c>
      <c r="K103" s="8" t="inlineStr">
        <is>
          <t>Turn this diagram into a hand-drawn explainer animation: starting from a blank page, the lines, arrows and labels are drawn on one by one in a logical order until the finished diagram matches this image exactly.</t>
        </is>
      </c>
      <c r="L103" s="8" t="inlineStr">
        <is>
          <t>1) Starts blank  2) Builds up stroke by stroke  3) Logical order  4) Final frame matches the input, including exact label text  5) No garbled text part-way</t>
        </is>
      </c>
      <c r="M103" s="8" t="inlineStr">
        <is>
          <t>Constructing towards an exact end frame; text stability</t>
        </is>
      </c>
      <c r="N103" s="8" t="inlineStr">
        <is>
          <t>EdTech, corporate training, explainer videos</t>
        </is>
      </c>
      <c r="O103" s="8" t="inlineStr">
        <is>
          <t>VID-I2V-03 bridged two given frames; this fixes only the end frame and demands a build order</t>
        </is>
      </c>
      <c r="P103" s="8" t="inlineStr">
        <is>
          <t>https://commons.wikimedia.org/wiki/File:The_Water_Cycle_(SVS30580).png</t>
        </is>
      </c>
      <c r="Q103" s="8" t="inlineStr">
        <is>
          <t>Public domain (NASA)</t>
        </is>
      </c>
      <c r="R103" s="8" t="inlineStr">
        <is>
          <t>Downloaded &amp; verified — input to prepare</t>
        </is>
      </c>
      <c r="S103" s="8" t="inlineStr">
        <is>
          <t>The diagram itself (final-frame match)</t>
        </is>
      </c>
      <c r="T103" s="8" t="inlineStr">
        <is>
          <t>Not run — proposed 2026-09-14</t>
        </is>
      </c>
      <c r="U103" s="8" t="inlineStr">
        <is>
          <t>Yes — pending your review</t>
        </is>
      </c>
      <c r="V103" s="8" t="inlineStr">
        <is>
          <t>Input role is last_frame.</t>
        </is>
      </c>
      <c r="W103" s="9">
        <f>IF(D103="Video Editing",Assumptions!$B$2+Assumptions!$B$3,IF(D103="Image-to-Video",Assumptions!$B$4+Assumptions!$B$5,""))</f>
        <v/>
      </c>
      <c r="X103" s="7" t="n"/>
      <c r="Y103" s="7" t="n"/>
    </row>
    <row r="104" ht="150" customHeight="1">
      <c r="A104" s="5" t="n">
        <v>103</v>
      </c>
      <c r="B104" s="8" t="inlineStr">
        <is>
          <t>New — proposed</t>
        </is>
      </c>
      <c r="C104" s="8" t="inlineStr">
        <is>
          <t>VID-MOTION-11</t>
        </is>
      </c>
      <c r="D104" s="8" t="inlineStr">
        <is>
          <t>Image-to-Video</t>
        </is>
      </c>
      <c r="E104" s="8" t="inlineStr">
        <is>
          <t>Motion &amp; physics from a still</t>
        </is>
      </c>
      <c r="F104" s="8" t="inlineStr">
        <is>
          <t>Energy</t>
        </is>
      </c>
      <c r="G104" s="8" t="inlineStr">
        <is>
          <t>ESG reporting</t>
        </is>
      </c>
      <c r="H104" s="8" t="inlineStr">
        <is>
          <t>Cloud shadows sweep across a solar farm</t>
        </is>
      </c>
      <c r="I104" s="8" t="inlineStr">
        <is>
          <t>Real photo of a solar park with rows of tilted panels</t>
        </is>
      </c>
      <c r="J104" s="8" t="inlineStr">
        <is>
          <t>Clouds drift; their shadows follow the terrain and the tilt of the panel rows</t>
        </is>
      </c>
      <c r="K104" s="8" t="inlineStr">
        <is>
          <t>Starting from this photo, clouds drift slowly across the sky and their shadows move across the solar panels and the ground below, following the terrain and the tilt of the panel rows. The solar farm itself does not change.</t>
        </is>
      </c>
      <c r="L104" s="8" t="inlineStr">
        <is>
          <t>1) Shadows consistent with cloud motion and sun direction  2) Shadows follow terrain and panel geometry  3) Panels unchanged  4) Continuous  5) Consistent lighting</t>
        </is>
      </c>
      <c r="M104" s="8" t="inlineStr">
        <is>
          <t>Shadow geometry and light transport over structured surfaces</t>
        </is>
      </c>
      <c r="N104" s="8" t="inlineStr">
        <is>
          <t>Energy-company communications and ESG reports</t>
        </is>
      </c>
      <c r="O104" s="8" t="inlineStr">
        <is>
          <t>No shadow-geometry test before</t>
        </is>
      </c>
      <c r="P104" s="8" t="inlineStr">
        <is>
          <t>Wikimedia Commons (search running)</t>
        </is>
      </c>
      <c r="Q104" s="8" t="inlineStr">
        <is>
          <t>—</t>
        </is>
      </c>
      <c r="R104" s="8" t="inlineStr">
        <is>
          <t>Weak candidate — replacement being checked</t>
        </is>
      </c>
      <c r="S104" s="8" t="inlineStr">
        <is>
          <t>—</t>
        </is>
      </c>
      <c r="T104" s="8" t="inlineStr">
        <is>
          <t>Not run — proposed 2026-09-14</t>
        </is>
      </c>
      <c r="U104" s="8" t="inlineStr">
        <is>
          <t>Yes — pending your review</t>
        </is>
      </c>
      <c r="V104" s="8" t="inlineStr">
        <is>
          <t>First candidate is a sunset silhouette with no visible panels; checking a daylight solar-park photo.</t>
        </is>
      </c>
      <c r="W104" s="9">
        <f>IF(D104="Video Editing",Assumptions!$B$2+Assumptions!$B$3,IF(D104="Image-to-Video",Assumptions!$B$4+Assumptions!$B$5,""))</f>
        <v/>
      </c>
      <c r="X104" s="7" t="n"/>
      <c r="Y104" s="7" t="n"/>
    </row>
  </sheetData>
  <autoFilter ref="A1:Y104"/>
  <dataValidations count="1">
    <dataValidation sqref="X2:X104" showDropDown="0" showInputMessage="0" showErrorMessage="0" allowBlank="1" type="list">
      <formula1>"Approve,Change,Drop"</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62" customWidth="1" min="1" max="1"/>
    <col width="26" customWidth="1" min="2" max="2"/>
    <col width="18" customWidth="1" min="3" max="3"/>
    <col width="10" customWidth="1" min="4" max="4"/>
  </cols>
  <sheetData>
    <row r="1">
      <c r="A1" s="10" t="inlineStr">
        <is>
          <t>Scenario counts</t>
        </is>
      </c>
    </row>
    <row r="3">
      <c r="A3" s="11" t="inlineStr">
        <is>
          <t>Category</t>
        </is>
      </c>
      <c r="B3" s="11" t="inlineStr">
        <is>
          <t>Available — existing bank</t>
        </is>
      </c>
      <c r="C3" s="11" t="inlineStr">
        <is>
          <t>New — proposed</t>
        </is>
      </c>
      <c r="D3" s="11" t="inlineStr">
        <is>
          <t>Total</t>
        </is>
      </c>
    </row>
    <row r="4">
      <c r="A4" s="5" t="inlineStr">
        <is>
          <t>Video Editing</t>
        </is>
      </c>
      <c r="B4" s="5">
        <f>COUNTIFS(Scenarios!$B$2:$B$104,"Available — existing bank",Scenarios!$D$2:$D$104,A4)</f>
        <v/>
      </c>
      <c r="C4" s="5">
        <f>COUNTIFS(Scenarios!$B$2:$B$104,"New — proposed",Scenarios!$D$2:$D$104,A4)</f>
        <v/>
      </c>
      <c r="D4" s="5">
        <f>B4+C4</f>
        <v/>
      </c>
    </row>
    <row r="5">
      <c r="A5" s="5" t="inlineStr">
        <is>
          <t>Image-to-Video</t>
        </is>
      </c>
      <c r="B5" s="5">
        <f>COUNTIFS(Scenarios!$B$2:$B$104,"Available — existing bank",Scenarios!$D$2:$D$104,A5)</f>
        <v/>
      </c>
      <c r="C5" s="5">
        <f>COUNTIFS(Scenarios!$B$2:$B$104,"New — proposed",Scenarios!$D$2:$D$104,A5)</f>
        <v/>
      </c>
      <c r="D5" s="5">
        <f>B5+C5</f>
        <v/>
      </c>
    </row>
    <row r="6">
      <c r="A6" s="5" t="inlineStr">
        <is>
          <t>Text-to-Video</t>
        </is>
      </c>
      <c r="B6" s="5">
        <f>COUNTIFS(Scenarios!$B$2:$B$104,"Available — existing bank",Scenarios!$D$2:$D$104,A6)</f>
        <v/>
      </c>
      <c r="C6" s="5">
        <f>COUNTIFS(Scenarios!$B$2:$B$104,"New — proposed",Scenarios!$D$2:$D$104,A6)</f>
        <v/>
      </c>
      <c r="D6" s="5">
        <f>B6+C6</f>
        <v/>
      </c>
    </row>
    <row r="7">
      <c r="A7" s="5" t="inlineStr">
        <is>
          <t>Avatar / Dialogue</t>
        </is>
      </c>
      <c r="B7" s="5">
        <f>COUNTIFS(Scenarios!$B$2:$B$104,"Available — existing bank",Scenarios!$D$2:$D$104,A7)</f>
        <v/>
      </c>
      <c r="C7" s="5">
        <f>COUNTIFS(Scenarios!$B$2:$B$104,"New — proposed",Scenarios!$D$2:$D$104,A7)</f>
        <v/>
      </c>
      <c r="D7" s="5">
        <f>B7+C7</f>
        <v/>
      </c>
    </row>
    <row r="8">
      <c r="A8" s="5" t="inlineStr">
        <is>
          <t>Total</t>
        </is>
      </c>
      <c r="B8" s="5">
        <f>SUM(B4:B7)</f>
        <v/>
      </c>
      <c r="C8" s="5">
        <f>SUM(C4:C7)</f>
        <v/>
      </c>
      <c r="D8" s="5">
        <f>SUM(D4:D7)</f>
        <v/>
      </c>
    </row>
    <row r="9">
      <c r="A9" s="5" t="n"/>
      <c r="B9" s="5" t="n"/>
      <c r="C9" s="5" t="n"/>
      <c r="D9" s="5" t="n"/>
    </row>
    <row r="10">
      <c r="A10" s="12" t="inlineStr">
        <is>
          <t>New scenarios by source status</t>
        </is>
      </c>
      <c r="B10" s="5" t="n"/>
      <c r="C10" s="5" t="n"/>
      <c r="D10" s="5" t="n"/>
    </row>
    <row r="11">
      <c r="A11" s="5" t="inlineStr">
        <is>
          <t>Ready — downloaded &amp; prepared in assets/bank</t>
        </is>
      </c>
      <c r="B11" s="5">
        <f>COUNTIFS(Scenarios!$B$2:$B$104,"New — proposed",Scenarios!$R$2:$R$104,A11)</f>
        <v/>
      </c>
      <c r="C11" s="5" t="n"/>
      <c r="D11" s="5" t="n"/>
    </row>
    <row r="12">
      <c r="A12" s="5" t="inlineStr">
        <is>
          <t>Downloaded &amp; verified — input to prepare</t>
        </is>
      </c>
      <c r="B12" s="5">
        <f>COUNTIFS(Scenarios!$B$2:$B$104,"New — proposed",Scenarios!$R$2:$R$104,A12)</f>
        <v/>
      </c>
      <c r="C12" s="5" t="n"/>
      <c r="D12" s="5" t="n"/>
    </row>
    <row r="13">
      <c r="A13" s="5" t="inlineStr">
        <is>
          <t>Downloading (large file)</t>
        </is>
      </c>
      <c r="B13" s="5">
        <f>COUNTIFS(Scenarios!$B$2:$B$104,"New — proposed",Scenarios!$R$2:$R$104,A13)</f>
        <v/>
      </c>
      <c r="C13" s="5" t="n"/>
      <c r="D13" s="5" t="n"/>
    </row>
    <row r="14">
      <c r="A14" s="5" t="inlineStr">
        <is>
          <t>Found — download blocked (Google Drive quota, retry after 24 h)</t>
        </is>
      </c>
      <c r="B14" s="5">
        <f>COUNTIFS(Scenarios!$B$2:$B$104,"New — proposed",Scenarios!$R$2:$R$104,A14)</f>
        <v/>
      </c>
      <c r="C14" s="5" t="n"/>
      <c r="D14" s="5" t="n"/>
    </row>
    <row r="15">
      <c r="A15" s="5" t="inlineStr">
        <is>
          <t>Weak candidate — replacement being checked</t>
        </is>
      </c>
      <c r="B15" s="5">
        <f>COUNTIFS(Scenarios!$B$2:$B$104,"New — proposed",Scenarios!$R$2:$R$104,A15)</f>
        <v/>
      </c>
      <c r="C15" s="5" t="n"/>
      <c r="D15" s="5" t="n"/>
    </row>
    <row r="16">
      <c r="A16" s="5" t="inlineStr">
        <is>
          <t>NOT FOUND — see 'Sources not found'</t>
        </is>
      </c>
      <c r="B16" s="5">
        <f>COUNTIFS(Scenarios!$B$2:$B$104,"New — proposed",Scenarios!$R$2:$R$104,A16)</f>
        <v/>
      </c>
      <c r="C16" s="5" t="n"/>
      <c r="D16" s="5" t="n"/>
    </row>
    <row r="17">
      <c r="A17" s="5" t="inlineStr">
        <is>
          <t>NO downloadable source — needs capture / render / shoot</t>
        </is>
      </c>
      <c r="B17" s="5">
        <f>COUNTIFS(Scenarios!$B$2:$B$104,"New — proposed",Scenarios!$R$2:$R$104,A17)</f>
        <v/>
      </c>
      <c r="C17" s="5" t="n"/>
      <c r="D17" s="5" t="n"/>
    </row>
    <row r="18">
      <c r="A18" s="5" t="inlineStr">
        <is>
          <t>Total new</t>
        </is>
      </c>
      <c r="B18" s="5">
        <f>SUM(B11:B17)</f>
        <v/>
      </c>
      <c r="C18" s="5" t="n"/>
      <c r="D18" s="5" t="n"/>
    </row>
    <row r="19">
      <c r="A19" s="12" t="inlineStr">
        <is>
          <t>Distinct industries among new scenarios</t>
        </is>
      </c>
      <c r="B19" s="5">
        <f>SUMPRODUCT((Scenarios!$B$2:$B$104="New — proposed")/COUNTIFS(Scenarios!$B$2:$B$104,Scenarios!$B$2:$B$104,Scenarios!$F$2:$F$104,Scenarios!$F$2:$F$104))</f>
        <v/>
      </c>
      <c r="C19" s="5" t="n"/>
      <c r="D19" s="5" t="n"/>
    </row>
    <row r="20">
      <c r="A20" s="5" t="n"/>
      <c r="B20" s="5" t="n"/>
      <c r="C20" s="5" t="n"/>
      <c r="D20" s="5" t="n"/>
    </row>
    <row r="21">
      <c r="A21" s="12" t="inlineStr">
        <is>
          <t>Estimated generation cost if every new scenario runs (USD, both arms)</t>
        </is>
      </c>
      <c r="B21" s="13">
        <f>SUMIFS(Scenarios!$W$2:$W$104,Scenarios!$B$2:$B$104,"New — proposed")</f>
        <v/>
      </c>
      <c r="C21" s="5" t="n"/>
      <c r="D21" s="5" t="n"/>
    </row>
    <row r="22">
      <c r="A22" s="5" t="inlineStr">
        <is>
          <t>…of which ready now</t>
        </is>
      </c>
      <c r="B22" s="13">
        <f>SUMIFS(Scenarios!$W$2:$W$104,Scenarios!$B$2:$B$104,"New — proposed",Scenarios!$R$2:$R$104,"Ready — downloaded &amp; prepared in assets/bank")</f>
        <v/>
      </c>
      <c r="C22" s="5" t="n"/>
      <c r="D22" s="5" t="n"/>
    </row>
    <row r="23">
      <c r="A23" s="5" t="inlineStr">
        <is>
          <t>Assumptions: see the Assumptions tab (per-call estimates from models.yaml).</t>
        </is>
      </c>
      <c r="B23" s="5" t="n"/>
      <c r="C23" s="5" t="n"/>
      <c r="D23" s="5"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4" customWidth="1" min="1" max="1"/>
    <col width="40" customWidth="1" min="2" max="2"/>
    <col width="70" customWidth="1" min="3" max="3"/>
    <col width="50" customWidth="1" min="4" max="4"/>
  </cols>
  <sheetData>
    <row r="1">
      <c r="A1" s="14" t="inlineStr">
        <is>
          <t>Scenario ID</t>
        </is>
      </c>
      <c r="B1" s="14" t="inlineStr">
        <is>
          <t>Scenario title</t>
        </is>
      </c>
      <c r="C1" s="14" t="inlineStr">
        <is>
          <t>Why there is no usable source</t>
        </is>
      </c>
      <c r="D1" s="14" t="inlineStr">
        <is>
          <t>Options (your call)</t>
        </is>
      </c>
    </row>
    <row r="2">
      <c r="A2" s="2" t="n"/>
      <c r="B2" s="2" t="n"/>
      <c r="C2" s="2" t="n"/>
      <c r="D2" s="2" t="n"/>
    </row>
    <row r="3">
      <c r="A3" s="3" t="inlineStr">
        <is>
          <t>A. Not found — no licensed downloadable source matched the brief</t>
        </is>
      </c>
      <c r="B3" s="2" t="n"/>
      <c r="C3" s="2" t="n"/>
      <c r="D3" s="2" t="n"/>
    </row>
    <row r="4">
      <c r="A4" s="2" t="inlineStr">
        <is>
          <t>VID-POST-03</t>
        </is>
      </c>
      <c r="B4" s="2" t="inlineStr">
        <is>
          <t>Stabilise a handheld walking shot</t>
        </is>
      </c>
      <c r="C4" s="2" t="inlineStr">
        <is>
          <t>Every walking video found on Commons is gimbal-stabilised: measured jitter on the best one (Nanjing walking tour) was 0.1 px, so there is no shake to remove. Further probing was rate-limited.</t>
        </is>
      </c>
      <c r="D4" s="2" t="inlineStr">
        <is>
          <t>Film a 10 s handheld phone walk in-house (real footage, not generated) · or keep searching once downloads finish · or drop</t>
        </is>
      </c>
    </row>
    <row r="5">
      <c r="A5" s="2" t="inlineStr">
        <is>
          <t>VID-VFX-02</t>
        </is>
      </c>
      <c r="B5" s="2" t="inlineStr">
        <is>
          <t>Fill empty stands with a crowd</t>
        </is>
      </c>
      <c r="C5" s="2" t="inlineStr">
        <is>
          <t>No licensed video of empty stands with a moving camera; results were anthem films and rallies.</t>
        </is>
      </c>
      <c r="D5" s="2" t="inlineStr">
        <is>
          <t>Film an empty sports hall or stadium on a phone (real footage) · or drop</t>
        </is>
      </c>
    </row>
    <row r="6">
      <c r="A6" s="2" t="inlineStr">
        <is>
          <t>VID-VFX-03</t>
        </is>
      </c>
      <c r="B6" s="2" t="inlineStr">
        <is>
          <t>Remove power lines from a drone shot</t>
        </is>
      </c>
      <c r="C6" s="2" t="inlineStr">
        <is>
          <t>No licensed drone clip with visible power lines. The best drone clip (Llanarmon-yn-Iâl church, Wales, CC BY 3.0, downloaded) has no wires, but shows cars parked beside the churchyard.</t>
        </is>
      </c>
      <c r="D6" s="2" t="inlineStr">
        <is>
          <t>Change the brief to 'remove the parked cars' using that clip · or drop</t>
        </is>
      </c>
    </row>
    <row r="7">
      <c r="A7" s="2" t="inlineStr">
        <is>
          <t>VID-VFX-04</t>
        </is>
      </c>
      <c r="B7" s="2" t="inlineStr">
        <is>
          <t>Virtual staging of an empty room</t>
        </is>
      </c>
      <c r="C7" s="2" t="inlineStr">
        <is>
          <t>No licensed walk-through of an empty room on Commons.</t>
        </is>
      </c>
      <c r="D7" s="2" t="inlineStr">
        <is>
          <t>Film a 10 s phone walk-through of an empty room or office in-house · or drop</t>
        </is>
      </c>
    </row>
    <row r="8">
      <c r="A8" s="2" t="inlineStr">
        <is>
          <t>VID-MOTION-04</t>
        </is>
      </c>
      <c r="B8" s="2" t="inlineStr">
        <is>
          <t>Garment photo → worn on a walking model</t>
        </is>
      </c>
      <c r="C8" s="2" t="inlineStr">
        <is>
          <t>Museum collection results were drawings, fabric panels or a child's dress; no adult garment product photo under a clean licence.</t>
        </is>
      </c>
      <c r="D8" s="2" t="inlineStr">
        <is>
          <t>Photograph one garment in-house on a plain background · or drop</t>
        </is>
      </c>
    </row>
    <row r="9">
      <c r="A9" s="2" t="n"/>
      <c r="B9" s="2" t="n"/>
      <c r="C9" s="2" t="n"/>
      <c r="D9" s="2" t="n"/>
    </row>
    <row r="10">
      <c r="A10" s="3" t="inlineStr">
        <is>
          <t>B. Needs capture, render or shoot (not downloadable by nature)</t>
        </is>
      </c>
      <c r="B10" s="2" t="n"/>
      <c r="C10" s="2" t="n"/>
      <c r="D10" s="2" t="n"/>
    </row>
    <row r="11">
      <c r="A11" s="2" t="inlineStr">
        <is>
          <t>VID-GAME-04</t>
        </is>
      </c>
      <c r="B11" s="2" t="inlineStr">
        <is>
          <t>Sim-racing replay → cinematic car commercial</t>
        </is>
      </c>
      <c r="C11" s="2" t="inlineStr">
        <is>
          <t>No licensed, downloadable sim-racing footage; recording Speed Dreams (GPL / Free Art Licence) ourselves is the clean route.</t>
        </is>
      </c>
      <c r="D11" s="2" t="inlineStr">
        <is>
          <t>Record a 6–8 s replay on this Mac (you install the game; ~20 min) · or drop</t>
        </is>
      </c>
    </row>
    <row r="12">
      <c r="A12" s="2" t="inlineStr">
        <is>
          <t>VID-GAME-05</t>
        </is>
      </c>
      <c r="B12" s="2" t="inlineStr">
        <is>
          <t>Game character render → live-action performer</t>
        </is>
      </c>
      <c r="C12" s="2" t="inlineStr">
        <is>
          <t>Needs a character picked in Mixamo with your Adobe login; renders are allowed, raw files are not redistributable.</t>
        </is>
      </c>
      <c r="D12" s="2" t="inlineStr">
        <is>
          <t>Pick a character in Mixamo; I render front + back · or drop GAME-05 and CAM-02</t>
        </is>
      </c>
    </row>
    <row r="13">
      <c r="A13" s="2" t="inlineStr">
        <is>
          <t>VID-CAM-02</t>
        </is>
      </c>
      <c r="B13" s="2" t="inlineStr">
        <is>
          <t>Character turnaround front → back</t>
        </is>
      </c>
      <c r="C13" s="2" t="inlineStr">
        <is>
          <t>Same Mixamo renders as VID-GAME-05.</t>
        </is>
      </c>
      <c r="D13" s="2" t="inlineStr">
        <is>
          <t>As VID-GAME-05</t>
        </is>
      </c>
    </row>
    <row r="14">
      <c r="A14" s="2" t="inlineStr">
        <is>
          <t>VID-CAM-05</t>
        </is>
      </c>
      <c r="B14" s="2" t="inlineStr">
        <is>
          <t>Portrait ¾ → profile</t>
        </is>
      </c>
      <c r="C14" s="2" t="inlineStr">
        <is>
          <t>A real profile ground truth plus a model release covering AI transformation cannot come from stock photos.</t>
        </is>
      </c>
      <c r="D14" s="2" t="inlineStr">
        <is>
          <t>In-house two-photo shoot with a signed release · or drop</t>
        </is>
      </c>
    </row>
    <row r="15">
      <c r="A15" s="2" t="n"/>
      <c r="B15" s="2" t="n"/>
      <c r="C15" s="2" t="n"/>
      <c r="D15" s="2" t="n"/>
    </row>
    <row r="16">
      <c r="A16" s="3" t="inlineStr">
        <is>
          <t>C. Found, but the download is temporarily blocked</t>
        </is>
      </c>
      <c r="B16" s="2" t="n"/>
      <c r="C16" s="2" t="n"/>
      <c r="D16" s="2" t="n"/>
    </row>
    <row r="17">
      <c r="A17" s="2" t="inlineStr">
        <is>
          <t>VID-CAM-06</t>
        </is>
      </c>
      <c r="B17" s="2" t="inlineStr">
        <is>
          <t>Event hall layout orbit</t>
        </is>
      </c>
      <c r="C17" s="2" t="inlineStr">
        <is>
          <t>Tanks and Temples Meetingroom.zip (416 MB) is on Google Drive, which now reports 'too many downloads'.</t>
        </is>
      </c>
      <c r="D17" s="2" t="inlineStr">
        <is>
          <t>Retry automatically after 24 h — no action needed</t>
        </is>
      </c>
    </row>
    <row r="18">
      <c r="A18" s="2" t="inlineStr">
        <is>
          <t>VID-CAM-07</t>
        </is>
      </c>
      <c r="B18" s="2" t="inlineStr">
        <is>
          <t>Locomotive close-up → wide pull-back</t>
        </is>
      </c>
      <c r="C18" s="2" t="inlineStr">
        <is>
          <t>Train.zip (202 MB), same Drive quota. Frames 00243 → 00137 already chosen from camera poses.</t>
        </is>
      </c>
      <c r="D18" s="2" t="inlineStr">
        <is>
          <t>Retry after 24 h</t>
        </is>
      </c>
    </row>
    <row r="19">
      <c r="A19" s="2" t="inlineStr">
        <is>
          <t>VID-POST-04</t>
        </is>
      </c>
      <c r="B19" s="2" t="inlineStr">
        <is>
          <t>Re-shoot from the other side of the room</t>
        </is>
      </c>
      <c r="C19" s="2" t="inlineStr">
        <is>
          <t>Meetingroom.mp4 (4.27 GB), same Drive quota.</t>
        </is>
      </c>
      <c r="D19" s="2" t="inlineStr">
        <is>
          <t>Retry after 24 h</t>
        </is>
      </c>
    </row>
    <row r="20">
      <c r="A20" s="2" t="n"/>
      <c r="B20" s="2" t="n"/>
      <c r="C20" s="2" t="n"/>
      <c r="D20" s="2" t="n"/>
    </row>
    <row r="21">
      <c r="A21" s="2" t="inlineStr">
        <is>
          <t>Not recommended</t>
        </is>
      </c>
      <c r="B21" s="2" t="inlineStr"/>
      <c r="C21" s="2" t="inlineStr">
        <is>
          <t>Generating any source with an image or video model breaks the study rule that sources are never model-generated, and a Google-generated input favours the Gemini arm (see the VID-I2V-* notes).</t>
        </is>
      </c>
      <c r="D21"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36" customWidth="1" min="1" max="1"/>
    <col width="10" customWidth="1" min="2" max="2"/>
    <col width="90" customWidth="1" min="3" max="3"/>
  </cols>
  <sheetData>
    <row r="1">
      <c r="A1" s="11" t="inlineStr">
        <is>
          <t>Cost assumption (USD per generation call)</t>
        </is>
      </c>
      <c r="B1" s="11" t="inlineStr">
        <is>
          <t>Value</t>
        </is>
      </c>
      <c r="C1" s="11" t="inlineStr">
        <is>
          <t>Source</t>
        </is>
      </c>
    </row>
    <row r="2">
      <c r="A2" s="5" t="inlineStr">
        <is>
          <t>Seedance 2.5 — video edit</t>
        </is>
      </c>
      <c r="B2" s="15" t="n">
        <v>10.5</v>
      </c>
      <c r="C2" s="5" t="inlineStr">
        <is>
          <t>video/configs/models.yaml est_usd_per_call(_by_task), 1080p, audio on — measured on the 2026-09-10/11 runs</t>
        </is>
      </c>
    </row>
    <row r="3">
      <c r="A3" s="5" t="inlineStr">
        <is>
          <t>Omni Flash — video edit</t>
        </is>
      </c>
      <c r="B3" s="15" t="n">
        <v>1.7</v>
      </c>
      <c r="C3" s="5" t="inlineStr">
        <is>
          <t>video/configs/models.yaml est_usd_per_call(_by_task), 1080p, audio on — measured on the 2026-09-10/11 runs</t>
        </is>
      </c>
    </row>
    <row r="4">
      <c r="A4" s="5" t="inlineStr">
        <is>
          <t>Seedance 2.5 — image-to-video</t>
        </is>
      </c>
      <c r="B4" s="15" t="n">
        <v>4.18</v>
      </c>
      <c r="C4" s="5" t="inlineStr">
        <is>
          <t>video/configs/models.yaml est_usd_per_call(_by_task), 1080p, audio on — measured on the 2026-09-10/11 runs</t>
        </is>
      </c>
    </row>
    <row r="5">
      <c r="A5" s="5" t="inlineStr">
        <is>
          <t>Omni Flash — image-to-video</t>
        </is>
      </c>
      <c r="B5" s="15" t="n">
        <v>1.22</v>
      </c>
      <c r="C5" s="5" t="inlineStr">
        <is>
          <t>video/configs/models.yaml est_usd_per_call(_by_task), 1080p, audio on — measured on the 2026-09-10/11 runs</t>
        </is>
      </c>
    </row>
    <row r="6">
      <c r="A6" s="5" t="n"/>
      <c r="C6" s="5" t="n"/>
    </row>
    <row r="7">
      <c r="A7" s="5" t="inlineStr">
        <is>
          <t>Estimates exclude judge cost (a few cents per cell) and retries. Seedance edits bill per second of input+output, so short clips cost less than the estimate.</t>
        </is>
      </c>
      <c r="C7" s="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2026-09-14T07:59:54Z</dcterms:created>
  <dcterms:modified xsi:type="dcterms:W3CDTF">2026-09-14T07:59:54Z</dcterms:modified>
</cp:coreProperties>
</file>
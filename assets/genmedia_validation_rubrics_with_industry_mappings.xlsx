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xr:revisionPtr revIDLastSave="0" documentId="8_{3B7235DC-5456-4AC8-8F1B-F29AD54CAF80}" xr6:coauthVersionLast="47" xr6:coauthVersionMax="47" xr10:uidLastSave="{00000000-0000-0000-0000-000000000000}"/>
  <bookViews>
    <workbookView xWindow="0" yWindow="0" windowWidth="16384" windowHeight="8192" tabRatio="500" firstSheet="1" activeTab="1" xr2:uid="{00000000-000D-0000-FFFF-FFFF00000000}"/>
  </bookViews>
  <sheets>
    <sheet name="How to run it" sheetId="1" r:id="rId1"/>
    <sheet name="Industry mapping" sheetId="2" r:id="rId2"/>
    <sheet name="Scenario bank" sheetId="4" r:id="rId3"/>
    <sheet name="Runtime contract" sheetId="5" r:id="rId4"/>
    <sheet name="Asset sources" sheetId="6" r:id="rId5"/>
    <sheet name="Pinned assets" sheetId="7" r:id="rId6"/>
    <sheet name="Image" sheetId="8" r:id="rId7"/>
    <sheet name="Video" sheetId="9" r:id="rId8"/>
    <sheet name="Voice" sheetId="10" r:id="rId9"/>
    <sheet name="Use case profiles" sheetId="11" r:id="rId10"/>
    <sheet name="Scorecard template" sheetId="12" r:id="rId11"/>
    <sheet name="Where this comes from" sheetId="13" r:id="rId12"/>
  </sheets>
  <definedNames>
    <definedName name="_xlnm._FilterDatabase" localSheetId="4" hidden="1">'Asset sources'!$A$4:$G$39</definedName>
    <definedName name="_xlnm._FilterDatabase" localSheetId="6" hidden="1">Image!$A$4:$I$14</definedName>
    <definedName name="_xlnm._FilterDatabase" localSheetId="1" hidden="1">'Industry mapping'!$A$4:$F$174</definedName>
    <definedName name="_xlnm._FilterDatabase" localSheetId="2" hidden="1">'Scenario bank'!$A$4:$N$174</definedName>
    <definedName name="_xlnm._FilterDatabase" localSheetId="9" hidden="1">'Use case profiles'!$A$4:$E$21</definedName>
    <definedName name="_xlnm._FilterDatabase" localSheetId="7" hidden="1">Video!$A$4:$I$18</definedName>
    <definedName name="_xlnm._FilterDatabase" localSheetId="8" hidden="1">Voice!$A$4:$I$17</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9" i="12" l="1"/>
  <c r="I19" i="12" s="1"/>
  <c r="G19" i="12"/>
  <c r="J19" i="12" s="1"/>
  <c r="H18" i="12"/>
  <c r="I18" i="12" s="1"/>
  <c r="G18" i="12"/>
  <c r="J18" i="12" s="1"/>
  <c r="H17" i="12"/>
  <c r="I17" i="12" s="1"/>
  <c r="G17" i="12"/>
  <c r="J17" i="12" s="1"/>
  <c r="H16" i="12"/>
  <c r="I16" i="12" s="1"/>
  <c r="G16" i="12"/>
  <c r="J16" i="12" s="1"/>
  <c r="H15" i="12"/>
  <c r="I15" i="12" s="1"/>
  <c r="G15" i="12"/>
  <c r="J15" i="12" s="1"/>
  <c r="H14" i="12"/>
  <c r="I14" i="12" s="1"/>
  <c r="G14" i="12"/>
  <c r="J14" i="12" s="1"/>
  <c r="H13" i="12"/>
  <c r="I13" i="12" s="1"/>
  <c r="G13" i="12"/>
  <c r="J22" i="12" l="1"/>
  <c r="J13" i="12"/>
  <c r="J21" i="12"/>
</calcChain>
</file>

<file path=xl/sharedStrings.xml><?xml version="1.0" encoding="utf-8"?>
<sst xmlns="http://schemas.openxmlformats.org/spreadsheetml/2006/main" count="4392" uniqueCount="2029">
  <si>
    <t>Validation rubrics — image, video and voice</t>
  </si>
  <si>
    <t>How we score a model's output for a given use case. Derived from the protocols used by GEdit-Bench, ImgEdit, VBench / VBench-2.0 and the ITU-T MOS standards, adapted so a small team can actually run it.</t>
  </si>
  <si>
    <t>Six rules that make the scores mean something</t>
  </si>
  <si>
    <t>1. Adherence is a gate, not a dimension.</t>
  </si>
  <si>
    <t>Score instruction adherence first. If it scores 2 or below, every other dimension is capped at that score — a beautiful output that ignored the brief cannot outrank a plain one that followed it. ImgEdit-Bench does exactly this, capping editing quality and detail preservation by instruction adherence. Without the cap, raters reward prettiness and the whole exercise drifts.</t>
  </si>
  <si>
    <t>2. Three generations per prompt, minimum.</t>
  </si>
  <si>
    <t>Run-to-run variance on these models can exceed the gap between two different models — a point made explicitly in recent image-editing literature. Scoring one output per prompt measures the seed, not the model. Five prompts x three seeds = 15 outputs per model per use case is the floor.</t>
  </si>
  <si>
    <t>3. Blind and randomise.</t>
  </si>
  <si>
    <t>Strip model names and filenames before scoring. Shuffle the order. Anyone who knows which output is Google's will score it differently, and they will not notice themselves doing it.</t>
  </si>
  <si>
    <t>4. Three raters, then check whether they agreed.</t>
  </si>
  <si>
    <t>Score independently, then measure agreement. If two raters land more than one point apart on a dimension more than a third of the time, that dimension is badly defined — fix the anchor wording before trusting any number from it. V2V-Bench publishes an inter-human agreement table for exactly this reason.</t>
  </si>
  <si>
    <t>5. Use the objective measure wherever one exists.</t>
  </si>
  <si>
    <t>Text rendering, pronunciation, latency, lip-sync offset and voice consistency all have measurable ground truth. Measure those; do not eyeball them. Human scoring is for the things that genuinely need a human — naturalness, aesthetics, whether motion looks plausible.</t>
  </si>
  <si>
    <t>6. Never compare scores across sessions.</t>
  </si>
  <si>
    <t>This is the rule people break most. Subjective scores are not transferable between test rounds — the TTS literature is emphatic about it for MOS, and it holds for image and video too. If you add a model next month, you re-score the incumbents alongside it in the same session. A number from March cannot be placed in a table next to a number from August.</t>
  </si>
  <si>
    <t>The scale</t>
  </si>
  <si>
    <t>One 1-5 scale everywhere, anchored to a shipping decision rather than an abstract quality feeling. Raters find 'would I send this to a client' far easier to answer consistently than 'rate the quality out of ten'.</t>
  </si>
  <si>
    <t>5  Ship as-is. No reviewer would comment.</t>
  </si>
  <si>
    <t>4  Ship after a trivial fix — under five minutes of work.</t>
  </si>
  <si>
    <t>3  Usable, but needs real rework. A client would raise it.</t>
  </si>
  <si>
    <t>2  Visibly fails the brief. Regenerate.</t>
  </si>
  <si>
    <t>1  Unusable, or the model did not attempt the task.</t>
  </si>
  <si>
    <t>When two models tie</t>
  </si>
  <si>
    <t>Aggregate scores compress at the top — most frontier models will sit between 3.8 and 4.3 and the mean will not separate them. Run a pairwise pass instead: same prompt, two outputs side by side, rater picks Better / Same / Worse. Report the win rate. This is what the model-comparison literature falls back on and what the public arenas do.</t>
  </si>
  <si>
    <t>What to write down every time</t>
  </si>
  <si>
    <t>Date, model version and exact model ID, prompt text, seed or generation index, all settings, rater initials. Model IDs change without announcement — a score against 'Nano Banana Pro' with no ID attached is worthless in three months.</t>
  </si>
  <si>
    <t>Scenario bank mapped to the four target industries</t>
  </si>
  <si>
    <t>Primary is the industry that would commission this scenario. Also relevant lists the others it serves. Filter by Primary to get a per-industry test plan straight out of the 170.</t>
  </si>
  <si>
    <t>Scenario ID</t>
  </si>
  <si>
    <t>Modality</t>
  </si>
  <si>
    <t>Use case family</t>
  </si>
  <si>
    <t>Scenario</t>
  </si>
  <si>
    <t>Primary industry</t>
  </si>
  <si>
    <t>Also relevant to</t>
  </si>
  <si>
    <t>IMG-LE-01</t>
  </si>
  <si>
    <t>Image</t>
  </si>
  <si>
    <t>Localised editing / object removal</t>
  </si>
  <si>
    <t>Single object removal from clutter</t>
  </si>
  <si>
    <t>Ecommerce &amp; Retail</t>
  </si>
  <si>
    <t>Ads</t>
  </si>
  <si>
    <t>IMG-LE-02</t>
  </si>
  <si>
    <t>Person removal from a group</t>
  </si>
  <si>
    <t>IMG-LE-03</t>
  </si>
  <si>
    <t>Colour change on one of several identical items</t>
  </si>
  <si>
    <t>IMG-LE-04</t>
  </si>
  <si>
    <t>Remove text from a surface</t>
  </si>
  <si>
    <t>IMG-LE-05</t>
  </si>
  <si>
    <t>Remove glare from glass</t>
  </si>
  <si>
    <t>IMG-LE-06</t>
  </si>
  <si>
    <t>Object swap preserving lighting</t>
  </si>
  <si>
    <t>IMG-LE-07</t>
  </si>
  <si>
    <t>Thin structure removal</t>
  </si>
  <si>
    <t>IMG-LE-08</t>
  </si>
  <si>
    <t>Expression change only</t>
  </si>
  <si>
    <t>IMG-LE-09</t>
  </si>
  <si>
    <t>Overlay element removal</t>
  </si>
  <si>
    <t>IMG-LE-10</t>
  </si>
  <si>
    <t>Attribute-selective removal</t>
  </si>
  <si>
    <t>IMG-TXT-01</t>
  </si>
  <si>
    <t>Text, typography, infographics</t>
  </si>
  <si>
    <t>Exact headline poster</t>
  </si>
  <si>
    <t>Ecommerce &amp; Retail, Gaming</t>
  </si>
  <si>
    <t>IMG-TXT-02</t>
  </si>
  <si>
    <t>Small-type packaging</t>
  </si>
  <si>
    <t>IMG-TXT-03</t>
  </si>
  <si>
    <t>Chart from supplied values</t>
  </si>
  <si>
    <t>—</t>
  </si>
  <si>
    <t>IMG-TXT-04</t>
  </si>
  <si>
    <t>Ordered process diagram</t>
  </si>
  <si>
    <t>IMG-TXT-05</t>
  </si>
  <si>
    <t>Bilingual signage</t>
  </si>
  <si>
    <t>IMG-TXT-06</t>
  </si>
  <si>
    <t>Code rendered as an image</t>
  </si>
  <si>
    <t>IMG-TXT-07</t>
  </si>
  <si>
    <t>Multi-section infographic</t>
  </si>
  <si>
    <t>IMG-TXT-08</t>
  </si>
  <si>
    <t>Notes to typeset diagram</t>
  </si>
  <si>
    <t>IMG-TXT-09</t>
  </si>
  <si>
    <t>Text on a curved surface</t>
  </si>
  <si>
    <t>IMG-TXT-10</t>
  </si>
  <si>
    <t>Typo correction in place</t>
  </si>
  <si>
    <t>IMG-BRAND-01</t>
  </si>
  <si>
    <t>Product &amp; brand imagery</t>
  </si>
  <si>
    <t>Packshot on seamless white</t>
  </si>
  <si>
    <t>IMG-BRAND-02</t>
  </si>
  <si>
    <t>Product in lifestyle scene</t>
  </si>
  <si>
    <t>IMG-BRAND-03</t>
  </si>
  <si>
    <t>Brand colour tolerance</t>
  </si>
  <si>
    <t>IMG-BRAND-04</t>
  </si>
  <si>
    <t>Logo geometry on packaging</t>
  </si>
  <si>
    <t>IMG-BRAND-05</t>
  </si>
  <si>
    <t>Multi-SKU line-up</t>
  </si>
  <si>
    <t>IMG-BRAND-06</t>
  </si>
  <si>
    <t>Reflective surface handling</t>
  </si>
  <si>
    <t>IMG-BRAND-07</t>
  </si>
  <si>
    <t>Seasonal campaign variant</t>
  </si>
  <si>
    <t>IMG-BRAND-08</t>
  </si>
  <si>
    <t>Scale reference with a hand</t>
  </si>
  <si>
    <t>IMG-BRAND-09</t>
  </si>
  <si>
    <t>Colourway variant</t>
  </si>
  <si>
    <t>IMG-BRAND-10</t>
  </si>
  <si>
    <t>Clean cutout for compositing</t>
  </si>
  <si>
    <t>IMG-CHAR-01</t>
  </si>
  <si>
    <t>Character &amp; identity</t>
  </si>
  <si>
    <t>Same character, three poses</t>
  </si>
  <si>
    <t>Micro-drama &amp; entertainment</t>
  </si>
  <si>
    <t>Gaming, Ads</t>
  </si>
  <si>
    <t>IMG-CHAR-02</t>
  </si>
  <si>
    <t>Same character, new lighting</t>
  </si>
  <si>
    <t>IMG-CHAR-03</t>
  </si>
  <si>
    <t>Age progression</t>
  </si>
  <si>
    <t>IMG-CHAR-04</t>
  </si>
  <si>
    <t>Outfit change, face locked</t>
  </si>
  <si>
    <t>IMG-CHAR-05</t>
  </si>
  <si>
    <t>Two characters, one frame</t>
  </si>
  <si>
    <t>IMG-CHAR-06</t>
  </si>
  <si>
    <t>New angle from one photo</t>
  </si>
  <si>
    <t>IMG-CHAR-07</t>
  </si>
  <si>
    <t>Expression range</t>
  </si>
  <si>
    <t>IMG-CHAR-08</t>
  </si>
  <si>
    <t>Six-panel sequence</t>
  </si>
  <si>
    <t>IMG-CHAR-09</t>
  </si>
  <si>
    <t>Feature fidelity from reference</t>
  </si>
  <si>
    <t>IMG-CHAR-10</t>
  </si>
  <si>
    <t>Persistent accessory</t>
  </si>
  <si>
    <t>Gaming</t>
  </si>
  <si>
    <t>IMG-UI-01</t>
  </si>
  <si>
    <t>UI mockups &amp; layout</t>
  </si>
  <si>
    <t>Login screen from spec</t>
  </si>
  <si>
    <t>IMG-UI-02</t>
  </si>
  <si>
    <t>Dashboard with named widgets</t>
  </si>
  <si>
    <t>IMG-UI-03</t>
  </si>
  <si>
    <t>Settings page with controls</t>
  </si>
  <si>
    <t>IMG-UI-04</t>
  </si>
  <si>
    <t>HTML page to mockup</t>
  </si>
  <si>
    <t>IMG-UI-05</t>
  </si>
  <si>
    <t>Dark mode variant</t>
  </si>
  <si>
    <t>IMG-UI-06</t>
  </si>
  <si>
    <t>Responsive pair</t>
  </si>
  <si>
    <t>IMG-UI-07</t>
  </si>
  <si>
    <t>Form with error states</t>
  </si>
  <si>
    <t>IMG-UI-08</t>
  </si>
  <si>
    <t>Consistent icon set</t>
  </si>
  <si>
    <t>IMG-UI-09</t>
  </si>
  <si>
    <t>Email template with copy space</t>
  </si>
  <si>
    <t>IMG-UI-10</t>
  </si>
  <si>
    <t>Slide layout with placeholders</t>
  </si>
  <si>
    <t>IMG-STY-01</t>
  </si>
  <si>
    <t>Style transfer</t>
  </si>
  <si>
    <t>Photo to watercolour</t>
  </si>
  <si>
    <t>Micro-drama &amp; entertainment, Ads</t>
  </si>
  <si>
    <t>IMG-STY-02</t>
  </si>
  <si>
    <t>Photo to line art</t>
  </si>
  <si>
    <t>IMG-STY-03</t>
  </si>
  <si>
    <t>Apply a supplied style reference</t>
  </si>
  <si>
    <t>IMG-STY-04</t>
  </si>
  <si>
    <t>Style consistency across a set</t>
  </si>
  <si>
    <t>IMG-STY-05</t>
  </si>
  <si>
    <t>Photo to isometric render</t>
  </si>
  <si>
    <t>IMG-STY-06</t>
  </si>
  <si>
    <t>Period style</t>
  </si>
  <si>
    <t>IMG-STY-07</t>
  </si>
  <si>
    <t>Style transfer with readable text</t>
  </si>
  <si>
    <t>IMG-STY-08</t>
  </si>
  <si>
    <t>Partial stylisation</t>
  </si>
  <si>
    <t>IMG-STY-09</t>
  </si>
  <si>
    <t>Blended styles</t>
  </si>
  <si>
    <t>IMG-STY-10</t>
  </si>
  <si>
    <t>Style transfer with brand lock</t>
  </si>
  <si>
    <t>VID-CIN-01</t>
  </si>
  <si>
    <t>Video</t>
  </si>
  <si>
    <t>Cinematic / hero shot</t>
  </si>
  <si>
    <t>Slow dolly-in</t>
  </si>
  <si>
    <t>Ads, Gaming</t>
  </si>
  <si>
    <t>VID-CIN-02</t>
  </si>
  <si>
    <t>Golden hour consistency</t>
  </si>
  <si>
    <t>VID-CIN-03</t>
  </si>
  <si>
    <t>Handheld documentary</t>
  </si>
  <si>
    <t>VID-CIN-04</t>
  </si>
  <si>
    <t>Rack focus</t>
  </si>
  <si>
    <t>VID-CIN-05</t>
  </si>
  <si>
    <t>Crane reveal</t>
  </si>
  <si>
    <t>VID-CIN-06</t>
  </si>
  <si>
    <t>Low-light interior</t>
  </si>
  <si>
    <t>VID-CIN-07</t>
  </si>
  <si>
    <t>Weather atmosphere</t>
  </si>
  <si>
    <t>VID-CIN-08</t>
  </si>
  <si>
    <t>Slow motion physical action</t>
  </si>
  <si>
    <t>VID-CIN-09</t>
  </si>
  <si>
    <t>Continuous ten-second take</t>
  </si>
  <si>
    <t>VID-CIN-10</t>
  </si>
  <si>
    <t>Match a supplied look reference</t>
  </si>
  <si>
    <t>VID-AD-01</t>
  </si>
  <si>
    <t>Advertising &amp; product video</t>
  </si>
  <si>
    <t>Product hero rotation</t>
  </si>
  <si>
    <t>VID-AD-02</t>
  </si>
  <si>
    <t>Product in use</t>
  </si>
  <si>
    <t>VID-AD-03</t>
  </si>
  <si>
    <t>Packshot with supers</t>
  </si>
  <si>
    <t>VID-AD-04</t>
  </si>
  <si>
    <t>Before and after transition</t>
  </si>
  <si>
    <t>VID-AD-05</t>
  </si>
  <si>
    <t>Logo sting</t>
  </si>
  <si>
    <t>VID-AD-06</t>
  </si>
  <si>
    <t>Vertical variant</t>
  </si>
  <si>
    <t>VID-AD-07</t>
  </si>
  <si>
    <t>Product against moving background</t>
  </si>
  <si>
    <t>VID-AD-08</t>
  </si>
  <si>
    <t>SKU line-up pan</t>
  </si>
  <si>
    <t>VID-AD-09</t>
  </si>
  <si>
    <t>Text stable through camera move</t>
  </si>
  <si>
    <t>VID-AD-10</t>
  </si>
  <si>
    <t>Six-second bumper</t>
  </si>
  <si>
    <t>VID-AVA-01</t>
  </si>
  <si>
    <t>Avatar / presenter / dialogue</t>
  </si>
  <si>
    <t>Scripted read with lip-sync</t>
  </si>
  <si>
    <t>Ecommerce &amp; Retail, Ads</t>
  </si>
  <si>
    <t>VID-AVA-02</t>
  </si>
  <si>
    <t>Two-person exchange</t>
  </si>
  <si>
    <t>VID-AVA-03</t>
  </si>
  <si>
    <t>Gestural delivery</t>
  </si>
  <si>
    <t>VID-AVA-04</t>
  </si>
  <si>
    <t>Second language, same presenter</t>
  </si>
  <si>
    <t>VID-AVA-05</t>
  </si>
  <si>
    <t>Emotional shift mid-clip</t>
  </si>
  <si>
    <t>VID-AVA-06</t>
  </si>
  <si>
    <t>Presenter with product</t>
  </si>
  <si>
    <t>VID-AVA-07</t>
  </si>
  <si>
    <t>Fifteen-second sync drift test</t>
  </si>
  <si>
    <t>VID-AVA-08</t>
  </si>
  <si>
    <t>Soft delivery</t>
  </si>
  <si>
    <t>VID-AVA-09</t>
  </si>
  <si>
    <t>Clean audio in a busy setting</t>
  </si>
  <si>
    <t>VID-AVA-10</t>
  </si>
  <si>
    <t>Spoken figures with on-screen match</t>
  </si>
  <si>
    <t>VID-I2V-01</t>
  </si>
  <si>
    <t>Image-to-video / first-last frame</t>
  </si>
  <si>
    <t>Subtle animation of a still</t>
  </si>
  <si>
    <t>Ecommerce &amp; Retail, Micro-drama &amp; entertainment, Gaming</t>
  </si>
  <si>
    <t>VID-I2V-02</t>
  </si>
  <si>
    <t>First frame continuation</t>
  </si>
  <si>
    <t>VID-I2V-03</t>
  </si>
  <si>
    <t>First and last frame bridge</t>
  </si>
  <si>
    <t>VID-I2V-04</t>
  </si>
  <si>
    <t>Reference character in a new scene</t>
  </si>
  <si>
    <t>VID-I2V-05</t>
  </si>
  <si>
    <t>Product still to rotation</t>
  </si>
  <si>
    <t>VID-I2V-06</t>
  </si>
  <si>
    <t>Landscape parallax</t>
  </si>
  <si>
    <t>VID-I2V-07</t>
  </si>
  <si>
    <t>Two references composited</t>
  </si>
  <si>
    <t>VID-I2V-08</t>
  </si>
  <si>
    <t>Style plate plus motion brief</t>
  </si>
  <si>
    <t>VID-I2V-09</t>
  </si>
  <si>
    <t>Logo reveal from a still</t>
  </si>
  <si>
    <t>VID-I2V-10</t>
  </si>
  <si>
    <t>Three stills to a sequence</t>
  </si>
  <si>
    <t>VID-EDIT-01</t>
  </si>
  <si>
    <t>Conversational / local video editing</t>
  </si>
  <si>
    <t>Recolour one object</t>
  </si>
  <si>
    <t>VID-EDIT-02</t>
  </si>
  <si>
    <t>Remove a background element</t>
  </si>
  <si>
    <t>VID-EDIT-03</t>
  </si>
  <si>
    <t>Background replacement</t>
  </si>
  <si>
    <t>VID-EDIT-04</t>
  </si>
  <si>
    <t>Change time of day</t>
  </si>
  <si>
    <t>VID-EDIT-05</t>
  </si>
  <si>
    <t>Add a physically correct object</t>
  </si>
  <si>
    <t>VID-EDIT-06</t>
  </si>
  <si>
    <t>Extend clip duration</t>
  </si>
  <si>
    <t>VID-EDIT-07</t>
  </si>
  <si>
    <t>Change the camera move</t>
  </si>
  <si>
    <t>VID-EDIT-08</t>
  </si>
  <si>
    <t>Three sequential edits</t>
  </si>
  <si>
    <t>VID-EDIT-09</t>
  </si>
  <si>
    <t>Edit on-screen text only</t>
  </si>
  <si>
    <t>VID-EDIT-10</t>
  </si>
  <si>
    <t>Revert a prior edit</t>
  </si>
  <si>
    <t>VID-PHY-01</t>
  </si>
  <si>
    <t>Physics &amp; action</t>
  </si>
  <si>
    <t>Weighted fall</t>
  </si>
  <si>
    <t>VID-PHY-02</t>
  </si>
  <si>
    <t>Liquid pour</t>
  </si>
  <si>
    <t>VID-PHY-03</t>
  </si>
  <si>
    <t>Cloth in wind</t>
  </si>
  <si>
    <t>VID-PHY-04</t>
  </si>
  <si>
    <t>Collision</t>
  </si>
  <si>
    <t>VID-PHY-05</t>
  </si>
  <si>
    <t>Walking gait</t>
  </si>
  <si>
    <t>VID-PHY-06</t>
  </si>
  <si>
    <t>Bouncing ball</t>
  </si>
  <si>
    <t>VID-PHY-07</t>
  </si>
  <si>
    <t>Fire and smoke</t>
  </si>
  <si>
    <t>VID-PHY-08</t>
  </si>
  <si>
    <t>Object permanence</t>
  </si>
  <si>
    <t>VID-PHY-09</t>
  </si>
  <si>
    <t>Grasp and lift</t>
  </si>
  <si>
    <t>VID-PHY-10</t>
  </si>
  <si>
    <t>Wheel rotation</t>
  </si>
  <si>
    <t>VOI-NAR-01</t>
  </si>
  <si>
    <t>Voice</t>
  </si>
  <si>
    <t>Narration &amp; audiobook</t>
  </si>
  <si>
    <t>Sixty-second neutral read</t>
  </si>
  <si>
    <t>VOI-NAR-02</t>
  </si>
  <si>
    <t>Five-minute stability</t>
  </si>
  <si>
    <t>VOI-NAR-03</t>
  </si>
  <si>
    <t>Marked emphasis</t>
  </si>
  <si>
    <t>VOI-NAR-04</t>
  </si>
  <si>
    <t>Dialogue with attribution</t>
  </si>
  <si>
    <t>VOI-NAR-05</t>
  </si>
  <si>
    <t>Technical passage</t>
  </si>
  <si>
    <t>VOI-NAR-06</t>
  </si>
  <si>
    <t>Verse with line breaks</t>
  </si>
  <si>
    <t>VOI-NAR-07</t>
  </si>
  <si>
    <t>Chapter transition</t>
  </si>
  <si>
    <t>VOI-NAR-08</t>
  </si>
  <si>
    <t>Voice identity across sessions</t>
  </si>
  <si>
    <t>VOI-NAR-09</t>
  </si>
  <si>
    <t>Controlled slow pace</t>
  </si>
  <si>
    <t>VOI-NAR-10</t>
  </si>
  <si>
    <t>Numeric density</t>
  </si>
  <si>
    <t>VOI-RT-01</t>
  </si>
  <si>
    <t>Realtime conversational agent</t>
  </si>
  <si>
    <t>Baseline turn latency</t>
  </si>
  <si>
    <t>VOI-RT-02</t>
  </si>
  <si>
    <t>Barge-in at two seconds</t>
  </si>
  <si>
    <t>VOI-RT-03</t>
  </si>
  <si>
    <t>False barge-in resistance</t>
  </si>
  <si>
    <t>VOI-RT-04</t>
  </si>
  <si>
    <t>Tool call correctness</t>
  </si>
  <si>
    <t>VOI-RT-05</t>
  </si>
  <si>
    <t>Five-turn context</t>
  </si>
  <si>
    <t>VOI-RT-06</t>
  </si>
  <si>
    <t>Silence handling</t>
  </si>
  <si>
    <t>VOI-RT-07</t>
  </si>
  <si>
    <t>Mid-utterance correction</t>
  </si>
  <si>
    <t>VOI-RT-08</t>
  </si>
  <si>
    <t>Human handoff</t>
  </si>
  <si>
    <t>VOI-RT-09</t>
  </si>
  <si>
    <t>Long user monologue</t>
  </si>
  <si>
    <t>VOI-RT-10</t>
  </si>
  <si>
    <t>Noise plus interruption</t>
  </si>
  <si>
    <t>VOI-TEL-01</t>
  </si>
  <si>
    <t>Transactional / telephony</t>
  </si>
  <si>
    <t>Order number readback</t>
  </si>
  <si>
    <t>VOI-TEL-02</t>
  </si>
  <si>
    <t>Currency confirmation</t>
  </si>
  <si>
    <t>VOI-TEL-03</t>
  </si>
  <si>
    <t>Email address spelling</t>
  </si>
  <si>
    <t>VOI-TEL-04</t>
  </si>
  <si>
    <t>Date and time slot</t>
  </si>
  <si>
    <t>VOI-TEL-05</t>
  </si>
  <si>
    <t>Alphanumeric booking code</t>
  </si>
  <si>
    <t>VOI-TEL-06</t>
  </si>
  <si>
    <t>Phone number readback</t>
  </si>
  <si>
    <t>VOI-TEL-07</t>
  </si>
  <si>
    <t>Address with postcode</t>
  </si>
  <si>
    <t>VOI-TEL-08</t>
  </si>
  <si>
    <t>OTP digit sequence</t>
  </si>
  <si>
    <t>VOI-TEL-09</t>
  </si>
  <si>
    <t>Card last-four confirmation</t>
  </si>
  <si>
    <t>VOI-TEL-10</t>
  </si>
  <si>
    <t>Telephony codec condition</t>
  </si>
  <si>
    <t>VOI-AD-01</t>
  </si>
  <si>
    <t>Advertising &amp; expressive reads</t>
  </si>
  <si>
    <t>Upbeat brand read</t>
  </si>
  <si>
    <t>VOI-AD-02</t>
  </si>
  <si>
    <t>Three emotional variants</t>
  </si>
  <si>
    <t>VOI-AD-03</t>
  </si>
  <si>
    <t>Intimate delivery</t>
  </si>
  <si>
    <t>VOI-AD-04</t>
  </si>
  <si>
    <t>Urgency read</t>
  </si>
  <si>
    <t>VOI-AD-05</t>
  </si>
  <si>
    <t>Empathetic healthcare tone</t>
  </si>
  <si>
    <t>VOI-AD-06</t>
  </si>
  <si>
    <t>Character persona</t>
  </si>
  <si>
    <t>VOI-AD-07</t>
  </si>
  <si>
    <t>Tagline with marked pause</t>
  </si>
  <si>
    <t>VOI-AD-08</t>
  </si>
  <si>
    <t>Two-voice ad dialogue</t>
  </si>
  <si>
    <t>VOI-AD-09</t>
  </si>
  <si>
    <t>Fixed-duration read</t>
  </si>
  <si>
    <t>VOI-AD-10</t>
  </si>
  <si>
    <t>Brand name pronunciation</t>
  </si>
  <si>
    <t>VOI-ML-01</t>
  </si>
  <si>
    <t>Multilingual &amp; localisation</t>
  </si>
  <si>
    <t>Hindi read</t>
  </si>
  <si>
    <t>VOI-ML-02</t>
  </si>
  <si>
    <t>Indian-accented English</t>
  </si>
  <si>
    <t>VOI-ML-03</t>
  </si>
  <si>
    <t>Code-switching</t>
  </si>
  <si>
    <t>VOI-ML-04</t>
  </si>
  <si>
    <t>Same voice across languages</t>
  </si>
  <si>
    <t>VOI-ML-05</t>
  </si>
  <si>
    <t>Regional Spanish variant</t>
  </si>
  <si>
    <t>VOI-ML-06</t>
  </si>
  <si>
    <t>Proper nouns across languages</t>
  </si>
  <si>
    <t>VOI-ML-07</t>
  </si>
  <si>
    <t>Localised number conventions</t>
  </si>
  <si>
    <t>VOI-ML-08</t>
  </si>
  <si>
    <t>Right-to-left script</t>
  </si>
  <si>
    <t>VOI-ML-09</t>
  </si>
  <si>
    <t>Tonal language</t>
  </si>
  <si>
    <t>VOI-ML-10</t>
  </si>
  <si>
    <t>Localised date and currency</t>
  </si>
  <si>
    <t>Coverage by industry</t>
  </si>
  <si>
    <t>Industry</t>
  </si>
  <si>
    <t>As primary</t>
  </si>
  <si>
    <t>Primary or secondary</t>
  </si>
  <si>
    <t>Read</t>
  </si>
  <si>
    <t>Best covered. Advertising touches every modality, so most of the bank serves it.</t>
  </si>
  <si>
    <t>Well covered — character consistency, dialogue, narration and multilingual all land here.</t>
  </si>
  <si>
    <t>Well covered on product imagery and voice agents. Thinner on video.</t>
  </si>
  <si>
    <t>THINNEST. Physics and style carry it, but we have no NPC dialogue, no in-game HUD and no game-cinematic scenarios. See note below.</t>
  </si>
  <si>
    <t>Gaming is the gap — worth raising before the mapping is signed off</t>
  </si>
  <si>
    <t>Our 17 use case families came from what practitioners publicly discussed, and gaming barely features in that conversation. The bank has physics, style transfer and UI mockups, which serve gaming indirectly — but nothing on NPC dialogue, in-game HUD, asset generation for engines, or game cinematics. If Google's sales team is taking gaming forward, we either add three or four gaming-specific scenarios per modality, or we say plainly that gaming is covered by proxy rather than directly.</t>
  </si>
  <si>
    <t>Scenario bank — 170 runnable scenarios with per-scenario validation</t>
  </si>
  <si>
    <t>17 use case families x 10 scenarios. Every row is executable: a fixed prompt, a defined asset requirement, numbered adherence clauses to check, and an automated check where one exists. Yellow = what to verify. Blue = how to verify it without a human.</t>
  </si>
  <si>
    <t>Capability under test</t>
  </si>
  <si>
    <t>Prompt / input brief (verbatim for the runtime)</t>
  </si>
  <si>
    <t>Input assets required</t>
  </si>
  <si>
    <t>Asset source</t>
  </si>
  <si>
    <t>Link</t>
  </si>
  <si>
    <t>Run settings</t>
  </si>
  <si>
    <t>Adherence clauses — check each</t>
  </si>
  <si>
    <t>Automated checks</t>
  </si>
  <si>
    <t>Human-scored dimensions</t>
  </si>
  <si>
    <t>Pass criteria</t>
  </si>
  <si>
    <t>Deletion without collateral change</t>
  </si>
  <si>
    <t>Remove only the blue ceramic mug from the desk. Leave every other object, the desk surface, and the lighting exactly as they are.</t>
  </si>
  <si>
    <t>Desk photo with 8-10 distinct objects incl. one blue mug</t>
  </si>
  <si>
    <t>GEdit-Bench (MIT)</t>
  </si>
  <si>
    <t>open</t>
  </si>
  <si>
    <t>1 input image; 3 seeds; same resolution as input</t>
  </si>
  <si>
    <t>1) Blue mug absent  2) All other objects unchanged in position and appearance  3) Desk surface plausibly reconstructed where the mug was  4) Global lighting unchanged</t>
  </si>
  <si>
    <t>Pixel diff vs input outside a 1.3x mug bounding box: &lt;2% of pixels changed. SSIM outside box &gt;0.97</t>
  </si>
  <si>
    <t>I1, I2, I3, I6, I10</t>
  </si>
  <si>
    <t>Adherence: all 4 clauses met. Automated checks pass. No gate failure. Median human score &gt;=4 across raters.</t>
  </si>
  <si>
    <t>Background reconstruction under a large occluder</t>
  </si>
  <si>
    <t>Remove the person standing furthest to the right. Reconstruct the background behind them. Do not alter the other people.</t>
  </si>
  <si>
    <t>Group photo, 4+ people, plain-ish background</t>
  </si>
  <si>
    <t>MagicBrush</t>
  </si>
  <si>
    <t>1) Target person absent  2) Remaining people unaltered — faces, poses, clothing  3) Background continuous with no smearing  4) Group spacing not recomposed</t>
  </si>
  <si>
    <t>Face embedding cosine &gt;0.95 for each remaining person vs input. Pixel diff outside removal region &lt;3%</t>
  </si>
  <si>
    <t>Selective targeting among duplicates</t>
  </si>
  <si>
    <t>Change only the leftmost of the four identical chairs to dark green. The other three chairs must remain their original colour.</t>
  </si>
  <si>
    <t>Photo with 4 identical chairs in a row</t>
  </si>
  <si>
    <t>1) Leftmost chair is dark green  2) Other three unchanged  3) Chair geometry and shadows preserved  4) No colour bleed onto floor or wall</t>
  </si>
  <si>
    <t>Sample mean hue in each chair region; target chair shifted, others within 3 deltaE of input</t>
  </si>
  <si>
    <t>Text deletion with texture reconstruction</t>
  </si>
  <si>
    <t>Remove all painted text from the wall. Reconstruct the brick texture underneath. Change nothing else in the frame.</t>
  </si>
  <si>
    <t>Photo of a brick wall bearing painted text</t>
  </si>
  <si>
    <t>1) No legible text remains  2) Brick texture continues plausibly across the region  3) Mortar lines align  4) Rest of frame unchanged</t>
  </si>
  <si>
    <t>OCR the output: zero characters detected in the former text region</t>
  </si>
  <si>
    <t>Non-object artefact removal</t>
  </si>
  <si>
    <t>Remove the window reflection from the picture frame glass so the artwork behind it is clearly visible. Do not alter the artwork, frame or wall.</t>
  </si>
  <si>
    <t>Photo of framed art with visible glare</t>
  </si>
  <si>
    <t>Pexels / Unsplash (free commercial)</t>
  </si>
  <si>
    <t>1) Glare gone  2) Artwork legible and unaltered in content  3) Frame geometry unchanged  4) Wall unchanged</t>
  </si>
  <si>
    <t>Luminance variance in glare region reduced &gt;60%. SSIM of frame edges vs input &gt;0.95</t>
  </si>
  <si>
    <t>Replacement with physical consistency</t>
  </si>
  <si>
    <t>Replace the coffee mug with a clear glass water bottle of similar height. Keep the same position, the same shadow direction, and the same reflected light on the table.</t>
  </si>
  <si>
    <t>Tabletop photo with a mug, directional light</t>
  </si>
  <si>
    <t>1) Mug replaced by a water bottle  2) Position matches original footprint  3) Shadow direction consistent with scene light  4) Table and background unchanged</t>
  </si>
  <si>
    <t>Shadow angle within 10 degrees of other objects. Pixel diff outside object region &lt;3%</t>
  </si>
  <si>
    <t>Fine-detail inpainting</t>
  </si>
  <si>
    <t>Remove the overhead power line crossing the sky. Leave the sky gradient, clouds and everything below the horizon untouched.</t>
  </si>
  <si>
    <t>Landscape photo with a thin cable across sky</t>
  </si>
  <si>
    <t>1) Cable fully removed along its length  2) No residual smudge or discontinuity  3) Sky gradient continuous  4) Horizon and foreground unchanged</t>
  </si>
  <si>
    <t>Edge detection along former cable path: no linear feature above threshold. Diff below horizon &lt;1%</t>
  </si>
  <si>
    <t>Attribute edit with identity lock</t>
  </si>
  <si>
    <t>Change this person's expression from neutral to a closed-mouth smile. Keep the identity, hairstyle, clothing, pose, background and lighting identical.</t>
  </si>
  <si>
    <t>Portrait, neutral expression, consent-cleared or synthetic</t>
  </si>
  <si>
    <t>SFHQ synthetic faces</t>
  </si>
  <si>
    <t>1) Expression is a closed-mouth smile  2) Identity recognisably the same person  3) Hair, clothing, pose unchanged  4) Background and lighting unchanged</t>
  </si>
  <si>
    <t>Face embedding cosine vs input &gt;0.90. Pixel diff outside face region &lt;2%</t>
  </si>
  <si>
    <t>Removal of a semi-transparent layer</t>
  </si>
  <si>
    <t>Remove the semi-transparent grey banner across the lower third. Restore the image content behind it. Change nothing above the banner.</t>
  </si>
  <si>
    <t>Own-brand image with a translucent lower-third banner</t>
  </si>
  <si>
    <t>Internal brand kit — build once</t>
  </si>
  <si>
    <t>1) Banner gone  2) Content behind it plausibly restored  3) No ghosting of banner edges  4) Upper two thirds unchanged</t>
  </si>
  <si>
    <t>Pixel diff in upper two thirds &lt;1%. No horizontal edge artefact at former banner boundary</t>
  </si>
  <si>
    <t>Removal filtered by a property, not position</t>
  </si>
  <si>
    <t>From this bowl of mixed sweets, remove only the red ones. Leave every sweet of every other colour exactly where it is, and do not change the bowl or the surface.</t>
  </si>
  <si>
    <t>Photo of a bowl of multi-coloured sweets</t>
  </si>
  <si>
    <t>1) No red sweets remain  2) Every non-red sweet present and in its original position  3) Bowl unchanged  4) Composition not rearranged to fill gaps</t>
  </si>
  <si>
    <t>Colour segmentation: red pixel count in bowl region near zero; count of non-red clusters matches input +/-1</t>
  </si>
  <si>
    <t>Verbatim string rendering</t>
  </si>
  <si>
    <t>Design an event poster. The headline must read exactly: RIVERSIDE JAZZ FESTIVAL. Beneath it, exactly: 14 MARCH 2027 - PIER SIX. Modern sans-serif, high contrast, portrait orientation.</t>
  </si>
  <si>
    <t>none</t>
  </si>
  <si>
    <t>No asset needed</t>
  </si>
  <si>
    <t>0-1 input; 3 seeds; 2048px long edge</t>
  </si>
  <si>
    <t>1) Headline string exact  2) Date line string exact  3) Portrait orientation  4) Sans-serif, legible hierarchy</t>
  </si>
  <si>
    <t>OCR exact string match on both lines. Character error rate = 0</t>
  </si>
  <si>
    <t>I1, I2, I4, I9, I10</t>
  </si>
  <si>
    <t>Legibility at reduced size</t>
  </si>
  <si>
    <t>Create a food packaging front panel. Include an ingredients line in small type reading exactly: Oats, almonds, honey, sea salt. Product name in large type: MORNING FUEL.</t>
  </si>
  <si>
    <t>1) Both strings exact  2) Ingredients line legible when rendered at 25% scale  3) Product name dominant  4) Panel reads as packaging</t>
  </si>
  <si>
    <t>OCR at full size CER=0; OCR after downscaling to 25%: CER &lt;0.05</t>
  </si>
  <si>
    <t>Data fidelity in a generated graphic</t>
  </si>
  <si>
    <t>Create a clean bar chart titled Quarterly Revenue with four bars labelled Q1, Q2, Q3, Q4 and values 42, 55, 38, 61. Label each bar with its value. Y axis from 0 to 70.</t>
  </si>
  <si>
    <t>1) Four bars present, correctly labelled  2) Printed values match the supplied numbers  3) Bar heights proportional to values  4) Axis range as specified</t>
  </si>
  <si>
    <t>OCR the value labels and compare to the source array. Measure bar pixel heights; ratios within 5% of value ratios</t>
  </si>
  <si>
    <t>Sequence and label correctness</t>
  </si>
  <si>
    <t>Create a horizontal five-step process diagram. Steps in order: Intake, Triage, Build, Review, Release. Arrows between consecutive steps only.</t>
  </si>
  <si>
    <t>1) Five steps present  2) Labels spelled correctly  3) Left-to-right order matches  4) Exactly four connecting arrows</t>
  </si>
  <si>
    <t>OCR labels in reading order and compare to the expected sequence. Count arrow shapes = 4</t>
  </si>
  <si>
    <t>Non-Latin script rendering</t>
  </si>
  <si>
    <t>Create a station wayfinding sign. English text: PLATFORM 3 - EXIT. Directly beneath, the Devanagari equivalent. Equal visual weight, high contrast.</t>
  </si>
  <si>
    <t>1) English string exact  2) Devanagari present and well-formed  3) Both lines equal weight  4) Sign-like layout</t>
  </si>
  <si>
    <t>OCR Latin: CER=0. Devanagari requires native-reader check — flag for human</t>
  </si>
  <si>
    <t>Monospace structure and syntax colour</t>
  </si>
  <si>
    <t>Render a Python function on a dark editor background. Code must read exactly: def total(items): return sum(i.price for i in items). Monospace, syntax colouring, visible line number 1.</t>
  </si>
  <si>
    <t>1) Code string exact including punctuation  2) Monospace with consistent alignment  3) Keywords coloured differently from identifiers  4) Line number present</t>
  </si>
  <si>
    <t>OCR and compare to the exact source string, whitespace-normalised. Count distinct colours in text region &gt;=3</t>
  </si>
  <si>
    <t>Layout hierarchy at density</t>
  </si>
  <si>
    <t>Create a portrait infographic titled How Rainwater Harvesting Works with three numbered sections: Collection, Filtration, Storage. Each section has a one-line caption. Footnote at the bottom reading: Source - internal estimate.</t>
  </si>
  <si>
    <t>1) Title exact  2) Three sections, numbered and named correctly  3) One caption each  4) Footnote present and exact</t>
  </si>
  <si>
    <t>OCR all headings and footnote; string match. Verify three distinct section blocks by layout segmentation</t>
  </si>
  <si>
    <t>Structure extraction from a messy input</t>
  </si>
  <si>
    <t>Convert this handwritten sketch into a clean typeset diagram. Preserve every label and every connection exactly as drawn. Do not add elements.</t>
  </si>
  <si>
    <t>Photo of a handwritten box-and-arrow sketch with 5 labels</t>
  </si>
  <si>
    <t>Build in-house</t>
  </si>
  <si>
    <t>1) All five labels present and correctly transcribed  2) Connection structure matches the sketch  3) No invented boxes or arrows  4) Clean typeset output</t>
  </si>
  <si>
    <t>OCR labels vs a human-supplied ground-truth list. Compare adjacency structure to a supplied edge list</t>
  </si>
  <si>
    <t>Geometric distortion with legibility</t>
  </si>
  <si>
    <t>Place the word HARVEST on the curved side of a ceramic mug so it wraps naturally with the surface and remains fully legible.</t>
  </si>
  <si>
    <t>Product photo of a plain mug</t>
  </si>
  <si>
    <t>Google Scanned Objects (CC BY 4.0)</t>
  </si>
  <si>
    <t>1) Word spelled correctly  2) Wraps with the curve rather than sitting flat  3) Fully legible  4) Mug otherwise unchanged</t>
  </si>
  <si>
    <t>OCR: exact match on HARVEST. Pixel diff outside the mug region &lt;2%</t>
  </si>
  <si>
    <t>Targeted text edit</t>
  </si>
  <si>
    <t>In this image, correct the misspelled word 'Recieve' to 'Receive'. Match the existing font, size, colour and position. Change nothing else.</t>
  </si>
  <si>
    <t>Image containing the misspelling</t>
  </si>
  <si>
    <t>1) Word now reads Receive  2) Font, weight, size and colour match surrounding text  3) Baseline and position preserved  4) Rest of image unchanged</t>
  </si>
  <si>
    <t>OCR full image; corrected word present, no other text changed. Pixel diff outside word bbox &lt;1%</t>
  </si>
  <si>
    <t>Reference product fidelity</t>
  </si>
  <si>
    <t>Place this exact product on a seamless white background, centred, with soft studio lighting and a subtle contact shadow. Do not alter the product's shape, label or colour.</t>
  </si>
  <si>
    <t>Product reference photo</t>
  </si>
  <si>
    <t>1-2 reference images; 3 seeds; 2048px</t>
  </si>
  <si>
    <t>1) Product matches reference in form and label  2) Seamless white background  3) Soft shadow present  4) Centred composition</t>
  </si>
  <si>
    <t>Label region OCR matches reference. Brand colour deltaE vs reference &lt;3. Background near-uniform RGB</t>
  </si>
  <si>
    <t>I1, I2, I5, I7, I9, I10</t>
  </si>
  <si>
    <t>Compositing with colour accuracy</t>
  </si>
  <si>
    <t>Place this exact product on a wooden kitchen counter in warm morning light, with a blurred background. Keep the product's colour and label exactly as in the reference.</t>
  </si>
  <si>
    <t>1) Product unaltered  2) Kitchen counter setting  3) Warm directional light  4) Background depth-of-field blur</t>
  </si>
  <si>
    <t>Brand colour deltaE &lt;3 after white-balance normalisation. Label OCR matches</t>
  </si>
  <si>
    <t>Exact colour reproduction</t>
  </si>
  <si>
    <t>Create a product banner using the brand colour hex 1F6F5C as the dominant background. Place the supplied product centred with a drop shadow.</t>
  </si>
  <si>
    <t>Product reference; brand hex value</t>
  </si>
  <si>
    <t>1) Background hex within tolerance  2) Product present and unaltered  3) Drop shadow present  4) Banner aspect ratio 16:9</t>
  </si>
  <si>
    <t>Sample background hex: deltaE vs 1F6F5C &lt;2. Verify aspect ratio</t>
  </si>
  <si>
    <t>Mark integrity under transformation</t>
  </si>
  <si>
    <t>Apply the supplied logo to the front of this box mockup, top-centre, at 30% of the box width. Preserve the logo's proportions and colours exactly.</t>
  </si>
  <si>
    <t>Logo file; box mockup</t>
  </si>
  <si>
    <t>1) Logo present top-centre  2) Aspect ratio of the mark preserved  3) Colours unchanged  4) Width approximately 30% of box face</t>
  </si>
  <si>
    <t>Overlay supplied logo at detected scale: IoU &gt;0.95. Colour deltaE &lt;2. Measure width ratio</t>
  </si>
  <si>
    <t>Multiple references held simultaneously</t>
  </si>
  <si>
    <t>Arrange these three product variants side by side on a neutral grey surface, evenly spaced, all at the same scale, each with its own label clearly visible.</t>
  </si>
  <si>
    <t>Three product references</t>
  </si>
  <si>
    <t>1) All three products present and distinguishable  2) Even spacing  3) Consistent scale  4) All labels legible</t>
  </si>
  <si>
    <t>OCR each label region; all three strings match references. Measure inter-product spacing variance &lt;10%</t>
  </si>
  <si>
    <t>Label integrity on difficult material</t>
  </si>
  <si>
    <t>Photograph this glass bottle on a dark reflective surface. The label must remain fully legible and undistorted despite the reflections.</t>
  </si>
  <si>
    <t>Bottle reference with label</t>
  </si>
  <si>
    <t>1) Bottle matches reference  2) Label legible and undistorted  3) Reflection present on surface  4) Dark surface as specified</t>
  </si>
  <si>
    <t>OCR label: CER &lt;0.02. Verify a reflection region exists below the product</t>
  </si>
  <si>
    <t>Brand lock across a creative change</t>
  </si>
  <si>
    <t>Recreate this campaign image with a winter setting — snow, cool light, evergreen elements. The product, logo and brand colours must stay exactly as they are.</t>
  </si>
  <si>
    <t>Existing campaign image with product and logo</t>
  </si>
  <si>
    <t>1) Setting changed to winter  2) Product unaltered  3) Logo unaltered in geometry and colour  4) Brand colours preserved</t>
  </si>
  <si>
    <t>Logo IoU vs source &gt;0.95. Product region SSIM vs source &gt;0.9. Brand colour deltaE &lt;3</t>
  </si>
  <si>
    <t>Plausible relative proportion</t>
  </si>
  <si>
    <t>Show this product held in an adult hand against a plain background, so its real-world size is immediately clear. Do not change the product's proportions.</t>
  </si>
  <si>
    <t>Product reference with known dimensions</t>
  </si>
  <si>
    <t>1) Hand present and anatomically plausible  2) Product proportions unchanged  3) Relative size consistent with stated dimensions  4) Plain background</t>
  </si>
  <si>
    <t>Estimate product-to-hand ratio and compare against expected ratio from real dimensions, tolerance 15%</t>
  </si>
  <si>
    <t>Recolour without form change</t>
  </si>
  <si>
    <t>Produce this product in matte navy instead of its current colour. Keep the exact shape, proportions, materials, label placement and lighting.</t>
  </si>
  <si>
    <t>Product reference</t>
  </si>
  <si>
    <t>1) Product is matte navy  2) Silhouette identical to reference  3) Label still present and correctly placed  4) Lighting unchanged</t>
  </si>
  <si>
    <t>Silhouette IoU vs reference &gt;0.97. Sampled body colour matches navy target. Label OCR matches</t>
  </si>
  <si>
    <t>Edge quality for downstream use</t>
  </si>
  <si>
    <t>Produce this product as a clean cutout on a transparent or pure white background with sharp, accurate edges suitable for compositing. No shadow.</t>
  </si>
  <si>
    <t>1) Product isolated  2) Edges accurate, no halo or fringing  3) No shadow included  4) Product unaltered</t>
  </si>
  <si>
    <t>Edge-alpha analysis: fringe width &lt;2px. Background uniformity check. Note if native transparency is unsupported</t>
  </si>
  <si>
    <t>Identity under pose variation</t>
  </si>
  <si>
    <t>Using this character reference, generate the same person standing, seated, and walking. Keep the face, hair, build and outfit identical across all three.</t>
  </si>
  <si>
    <t>Character reference image</t>
  </si>
  <si>
    <t>1 reference; 3 seeds; consistent resolution</t>
  </si>
  <si>
    <t>1) Three distinct poses  2) Same face across all  3) Same outfit and hair  4) Consistent build</t>
  </si>
  <si>
    <t>Pairwise face embedding cosine across the three outputs &gt;0.90</t>
  </si>
  <si>
    <t>I1, I2, I5, I8, I10</t>
  </si>
  <si>
    <t>Identity under illumination change</t>
  </si>
  <si>
    <t>Place this character in three settings: bright noon exterior, warm indoor lamplight, and cool overcast. Identity and outfit must not change.</t>
  </si>
  <si>
    <t>Character reference</t>
  </si>
  <si>
    <t>1) Three lighting conditions clearly different  2) Same identity throughout  3) Outfit unchanged  4) Skin tone consistent under white balance normalisation</t>
  </si>
  <si>
    <t>Face cosine &gt;0.88 pairwise. Skin tone deltaE after WB normalisation &lt;5</t>
  </si>
  <si>
    <t>Identity across a controlled attribute shift</t>
  </si>
  <si>
    <t>Show this person at approximately 20, 40 and 60 years old. Preserve the recognisable identity, bone structure and distinguishing features at every age.</t>
  </si>
  <si>
    <t>Portrait reference</t>
  </si>
  <si>
    <t>1) Three plausible ages  2) Bone structure consistent  3) Distinguishing features retained  4) Same person recognisable</t>
  </si>
  <si>
    <t>Face cosine &gt;0.75 pairwise (looser threshold — age shift is intended). Human review mandatory</t>
  </si>
  <si>
    <t>Attribute change without identity drift</t>
  </si>
  <si>
    <t>Change this character's clothing to formal business attire. Face, hairstyle, build and pose must remain exactly as in the reference.</t>
  </si>
  <si>
    <t>1) Clothing is formal business attire  2) Face unchanged  3) Hairstyle unchanged  4) Pose unchanged</t>
  </si>
  <si>
    <t>Face cosine &gt;0.93. Pixel diff in head region vs reference &lt;5%</t>
  </si>
  <si>
    <t>Multiple identities held at once</t>
  </si>
  <si>
    <t>Place these two characters in a single frame having a conversation at a cafe table. Both must match their references exactly.</t>
  </si>
  <si>
    <t>Two character references</t>
  </si>
  <si>
    <t>1) Both characters present  2) Each matches its own reference  3) No feature blending between them  4) Plausible shared scene and lighting</t>
  </si>
  <si>
    <t>Face cosine &gt;0.90 for each character against its own reference; cross-cosine between them below their individual scores</t>
  </si>
  <si>
    <t>3D consistency from a single view</t>
  </si>
  <si>
    <t>From this single front-facing photo, generate the same person in three-quarter profile. Keep identity, hair and clothing consistent.</t>
  </si>
  <si>
    <t>Single frontal portrait</t>
  </si>
  <si>
    <t>1) Three-quarter profile achieved  2) Identity preserved  3) Hair consistent  4) Clothing consistent</t>
  </si>
  <si>
    <t>Face cosine &gt;0.85. Human review for structural plausibility</t>
  </si>
  <si>
    <t>Emotion without identity loss</t>
  </si>
  <si>
    <t>Generate this character with four expressions: neutral, smiling, concerned, surprised. Same identity, same lighting, same framing throughout.</t>
  </si>
  <si>
    <t>1) Four distinct, correct expressions  2) Same identity  3) Same lighting  4) Same framing</t>
  </si>
  <si>
    <t>Face cosine &gt;0.90 pairwise. Expression classifier confirms the four intended labels</t>
  </si>
  <si>
    <t>Consistency across a narrative set</t>
  </si>
  <si>
    <t>Create a six-panel sequence showing this character arriving at an office, working, and leaving. Consistent identity, outfit and art style in every panel.</t>
  </si>
  <si>
    <t>1) Six panels  2) Coherent narrative order  3) Identity consistent throughout  4) Style consistent throughout</t>
  </si>
  <si>
    <t>Face cosine &gt;0.88 across all pairs. Style embedding variance across panels below threshold</t>
  </si>
  <si>
    <t>Bias and faithfulness check</t>
  </si>
  <si>
    <t>Generate this character in a new outdoor scene. Reproduce their facial features, skin tone and hair texture exactly as in the reference without idealising or altering them.</t>
  </si>
  <si>
    <t>Character reference with distinctive features</t>
  </si>
  <si>
    <t>1) Facial features faithful  2) Skin tone unchanged after WB normalisation  3) Hair texture faithful  4) No feature idealisation</t>
  </si>
  <si>
    <t>Skin tone deltaE &lt;4. Face cosine &gt;0.90. MANDATORY human review for feature alteration or bias</t>
  </si>
  <si>
    <t>Small-detail continuity</t>
  </si>
  <si>
    <t>Generate this character in three different scenes. In every image they must be wearing the same distinctive round glasses with a thin gold frame shown in the reference.</t>
  </si>
  <si>
    <t>Character reference wearing the accessory</t>
  </si>
  <si>
    <t>1) Glasses present in all three  2) Same shape and frame colour  3) Correctly positioned  4) Identity consistent</t>
  </si>
  <si>
    <t>Object detection confirms glasses in all outputs. Frame colour sampled and compared. Face cosine &gt;0.90</t>
  </si>
  <si>
    <t>Spec-to-layout translation</t>
  </si>
  <si>
    <t>Design a mobile app login screen. Include: app name TIDEMARK at the top, an email field labelled Email, a password field labelled Password, a primary button reading Sign in, and a text link reading Forgot password. Light theme, 9:16.</t>
  </si>
  <si>
    <t>0-1 input; 3 seeds; device-appropriate ratio</t>
  </si>
  <si>
    <t>1) All five elements present  2) Label strings exact  3) Vertical order as listed  4) 9:16 ratio, light theme</t>
  </si>
  <si>
    <t>OCR all strings and match. Verify element order by vertical position. Check aspect ratio</t>
  </si>
  <si>
    <t>I1, I2, I4, I6, I9, I10</t>
  </si>
  <si>
    <t>Multi-region layout control</t>
  </si>
  <si>
    <t>Design a desktop analytics dashboard with four widgets titled exactly: Active Users, Revenue, Churn Rate, Top Regions. Two-by-two grid, left sidebar navigation, light theme.</t>
  </si>
  <si>
    <t>1) Four widgets with exact titles  2) Two-by-two grid  3) Sidebar present on the left  4) Light theme</t>
  </si>
  <si>
    <t>OCR four titles. Detect grid structure by layout segmentation. Verify sidebar region</t>
  </si>
  <si>
    <t>Control-type accuracy</t>
  </si>
  <si>
    <t>Design a settings page with three toggle switches labelled Notifications, Dark mode, Auto-sync — the first on, the other two off — and a Save button at the bottom right.</t>
  </si>
  <si>
    <t>1) Three toggles with exact labels  2) States correct: on, off, off  3) Save button bottom right  4) Recognisable settings layout</t>
  </si>
  <si>
    <t>OCR labels. Classify toggle state by visual position. Verify button placement quadrant</t>
  </si>
  <si>
    <t>Faithful reproduction of a supplied layout</t>
  </si>
  <si>
    <t>Recreate this web page as a single image. Preserve the layout, text content, element sizing and colour scheme exactly as shown.</t>
  </si>
  <si>
    <t>Screenshot or rendered HTML page</t>
  </si>
  <si>
    <t>WebSight (CC BY 4.0)</t>
  </si>
  <si>
    <t>1) Layout structure matches  2) All visible text reproduced correctly  3) Element proportions match  4) Colour scheme matches</t>
  </si>
  <si>
    <t>OCR both source and output; text similarity &gt;0.95. Layout block IoU &gt;0.85. Colour histogram correlation &gt;0.9</t>
  </si>
  <si>
    <t>Theme inversion with structure lock</t>
  </si>
  <si>
    <t>Produce a dark-mode version of this supplied light-mode screen. Keep every element, label and position identical — change only the colour scheme.</t>
  </si>
  <si>
    <t>Light-mode mockup</t>
  </si>
  <si>
    <t>1) Dark background, light text  2) All elements retained  3) All labels unchanged  4) Positions unchanged</t>
  </si>
  <si>
    <t>OCR text identical to source. Layout block IoU vs source &gt;0.95. Verify luminance inversion</t>
  </si>
  <si>
    <t>Same content, two form factors</t>
  </si>
  <si>
    <t>Produce this screen at both phone ratio 9:16 and tablet ratio 4:3. Same content and labels in both; layout may reflow but nothing may be dropped.</t>
  </si>
  <si>
    <t>Screen spec or existing mockup</t>
  </si>
  <si>
    <t>1) Both ratios produced  2) Identical text content in both  3) Sensible reflow  4) No dropped elements</t>
  </si>
  <si>
    <t>OCR both; text set identical. Verify both aspect ratios</t>
  </si>
  <si>
    <t>Conditional state rendering</t>
  </si>
  <si>
    <t>Design a signup form showing a validation error. The email field must display the error text: Enter a valid email address. The field border must be red. Other fields appear normal.</t>
  </si>
  <si>
    <t>1) Error string exact  2) Email field bordered red  3) Other fields in normal state  4) Form otherwise complete</t>
  </si>
  <si>
    <t>OCR error string. Sample border colour in email field region. Verify other fields lack error styling</t>
  </si>
  <si>
    <t>Design six line icons in a single consistent style: home, search, settings, profile, notifications, logout. Uniform stroke weight, uniform size, same visual language.</t>
  </si>
  <si>
    <t>1) Six icons, all recognisable as the named concepts  2) Uniform stroke weight  3) Uniform bounding size  4) Consistent corner and terminal treatment</t>
  </si>
  <si>
    <t>Measure stroke width variance across icons &lt;10%. Measure bounding box size variance &lt;5%</t>
  </si>
  <si>
    <t>Layout constraint compliance</t>
  </si>
  <si>
    <t>Design an email newsletter template with a header band, a hero image area, a body text block, and a footer. Leave the hero area empty as a placeholder. Width 600px equivalent.</t>
  </si>
  <si>
    <t>1) Four distinct regions in order  2) Hero area left empty  3) Footer present at bottom  4) Proportions consistent with a 600px email width</t>
  </si>
  <si>
    <t>Layout segmentation confirms four bands. Verify hero region is low-detail/empty</t>
  </si>
  <si>
    <t>Presentation structure</t>
  </si>
  <si>
    <t>Design a presentation slide with the title Q3 Performance, three bullet lines, and an empty chart placeholder occupying the right half. 16:9.</t>
  </si>
  <si>
    <t>1) Title exact  2) Three bullets present  3) Chart placeholder on the right half, empty  4) 16:9 ratio</t>
  </si>
  <si>
    <t>OCR title and count bullet lines. Verify right-half region is a low-detail placeholder</t>
  </si>
  <si>
    <t>Style applied, subject preserved</t>
  </si>
  <si>
    <t>Convert this photograph into a loose watercolour painting. The subject, composition and all major elements must remain clearly recognisable.</t>
  </si>
  <si>
    <t>Photograph with a clear subject</t>
  </si>
  <si>
    <t>1-2 inputs; 3 seeds; preserve input resolution</t>
  </si>
  <si>
    <t>1) Reads as watercolour  2) Subject recognisable  3) Composition unchanged  4) No elements added or removed</t>
  </si>
  <si>
    <t>Structural similarity vs input &gt;0.6 (loose — style change expected). Object detection: same object classes present</t>
  </si>
  <si>
    <t>High-abstraction style with content lock</t>
  </si>
  <si>
    <t>Convert this photograph into clean black-and-white line art. Preserve the outline and structure of every major element. No shading, lines only.</t>
  </si>
  <si>
    <t>Photograph</t>
  </si>
  <si>
    <t>1) Line art only, no fill shading  2) Major elements all present  3) Structure preserved  4) Monochrome</t>
  </si>
  <si>
    <t>Colour count check: near-binary. Edge map correlation with input edge map &gt;0.7</t>
  </si>
  <si>
    <t>Style transfer from an exemplar</t>
  </si>
  <si>
    <t>Apply the visual style of the first image to the content of the second. Keep the second image's subject and composition; take only colour palette, texture and brushwork from the first.</t>
  </si>
  <si>
    <t>Style reference + content image</t>
  </si>
  <si>
    <t>1) Content subject preserved  2) Palette matches the style reference  3) Texture/brushwork adopted  4) No content borrowed from the style image</t>
  </si>
  <si>
    <t>Colour histogram correlation with style ref &gt;0.7. Object classes match content image. Verify no style-image objects appear</t>
  </si>
  <si>
    <t>Repeatability of a style</t>
  </si>
  <si>
    <t>Apply the same illustration style to all four of these photographs so they read as a single coherent set.</t>
  </si>
  <si>
    <t>Four photographs</t>
  </si>
  <si>
    <t>1) All four stylised  2) Style visually identical across the set  3) Each subject still recognisable  4) Consistent palette</t>
  </si>
  <si>
    <t>Style embedding pairwise distance across outputs below threshold. Palette variance across set &lt;10%</t>
  </si>
  <si>
    <t>Perspective transformation as style</t>
  </si>
  <si>
    <t>Reinterpret this room photograph as a clean isometric 3D render. Keep the same furniture, same layout and same relative positions.</t>
  </si>
  <si>
    <t>Interior photograph</t>
  </si>
  <si>
    <t>1) Isometric projection achieved  2) Same furniture items present  3) Relative layout preserved  4) Clean render aesthetic</t>
  </si>
  <si>
    <t>Object detection: furniture class list matches input. Human review for projection correctness</t>
  </si>
  <si>
    <t>Era-specific aesthetic with subject lock</t>
  </si>
  <si>
    <t>Restyle this product photograph as a 1970s magazine advertisement — period colour grading, grain and typography treatment. The product itself must remain accurate.</t>
  </si>
  <si>
    <t>Product photograph</t>
  </si>
  <si>
    <t>1) Period aesthetic evident  2) Product shape and label accurate  3) Grain and grading applied  4) Reads as a print ad</t>
  </si>
  <si>
    <t>Product silhouette IoU vs input &gt;0.9. Label OCR still matches</t>
  </si>
  <si>
    <t>Stylisation that spares typography</t>
  </si>
  <si>
    <t>Apply a bold poster-art style to this image, but keep all existing text perfectly legible and correctly spelled.</t>
  </si>
  <si>
    <t>Image containing text</t>
  </si>
  <si>
    <t>1) Style applied to imagery  2) All text still legible  3) Spelling unchanged  4) Text position preserved</t>
  </si>
  <si>
    <t>OCR output vs input: CER &lt;0.02. Style change confirmed outside text regions</t>
  </si>
  <si>
    <t>Region-selective style application</t>
  </si>
  <si>
    <t>Stylise only the background of this portrait as an oil painting. The person must remain fully photographic and unaltered.</t>
  </si>
  <si>
    <t>Portrait with separable background</t>
  </si>
  <si>
    <t>1) Background stylised  2) Subject remains photographic  3) Clean boundary, no bleed onto subject  4) Subject unaltered</t>
  </si>
  <si>
    <t>Subject-region SSIM vs input &gt;0.9. Background-region SSIM notably lower. Boundary bleed check</t>
  </si>
  <si>
    <t>Controlled ratio between two styles</t>
  </si>
  <si>
    <t>Apply a blend of pencil sketch and watercolour to this image, weighted roughly 70% sketch and 30% watercolour. Subject must stay recognisable.</t>
  </si>
  <si>
    <t>1) Both styles evident  2) Sketch visibly dominant  3) Subject recognisable  4) Blend reads as deliberate</t>
  </si>
  <si>
    <t>Human-scored — no reliable automated ratio measure. Flag for pairwise comparison instead</t>
  </si>
  <si>
    <t>Aesthetic change under a hard constraint</t>
  </si>
  <si>
    <t>Apply a hand-drawn illustration style to this product image, but the product's brand colour must remain exactly hex 1F6F5C.</t>
  </si>
  <si>
    <t>Product image with known brand hex</t>
  </si>
  <si>
    <t>1) Illustration style applied  2) Brand colour deltaE &lt;3 vs 1F6F5C  3) Product recognisable  4) Style consistent across the frame</t>
  </si>
  <si>
    <t>Sample product body colour: deltaE vs 1F6F5C &lt;3</t>
  </si>
  <si>
    <t>Camera move accuracy and temporal stability</t>
  </si>
  <si>
    <t>A slow dolly-in on a woman reading at a wooden table by a window. Soft daylight. The camera moves steadily forward for the full duration. No cuts.</t>
  </si>
  <si>
    <t>8s; 1080p; 16:9; 3 seeds; audio off unless stated</t>
  </si>
  <si>
    <t>1) Camera moves forward, not zoom  2) Movement steady, no stutter  3) Single continuous take  4) Subject stays framed</t>
  </si>
  <si>
    <t>Optical flow: consistent forward radial expansion. Shot-boundary detection: zero cuts. Frame-to-frame similarity &gt;0.9</t>
  </si>
  <si>
    <t>V1, V2, V3, V4, V5, V6, V7, V13, V14</t>
  </si>
  <si>
    <t>Lighting stability over time</t>
  </si>
  <si>
    <t>A man walking along a coastal path at golden hour. Warm low sun from behind. The light direction and colour must stay consistent for the whole shot.</t>
  </si>
  <si>
    <t>1) Warm low-angle light  2) Light direction constant  3) Colour temperature stable  4) Subject motion continuous</t>
  </si>
  <si>
    <t>Sample colour temperature per frame: variance &lt;5%. Shadow direction angle variance &lt;10 degrees</t>
  </si>
  <si>
    <t>Deliberate instability without artefacts</t>
  </si>
  <si>
    <t>Handheld documentary-style shot following a chef through a busy kitchen. Natural camera shake. Subject stays in frame throughout.</t>
  </si>
  <si>
    <t>1) Handheld character present  2) Subject remains in frame  3) Shake reads as camera, not as artefact  4) No frame tearing or warping</t>
  </si>
  <si>
    <t>Optical flow magnitude within handheld range. No temporal discontinuities above threshold</t>
  </si>
  <si>
    <t>Depth control across the shot</t>
  </si>
  <si>
    <t>A static shot of a coffee cup in the foreground and a person in the background. Focus starts on the cup and shifts to the person halfway through.</t>
  </si>
  <si>
    <t>1) Focus starts on foreground  2) Shifts to background  3) Transition is gradual  4) Camera itself stays static</t>
  </si>
  <si>
    <t>Per-region sharpness metric over time: foreground and background curves cross. Global motion near zero</t>
  </si>
  <si>
    <t>Vertical camera move</t>
  </si>
  <si>
    <t>A rising crane shot starting on a stone path and lifting to reveal a valley of terraced fields. Smooth continuous rise.</t>
  </si>
  <si>
    <t>1) Camera rises vertically  2) Reveal occurs  3) Motion smooth throughout  4) No cuts</t>
  </si>
  <si>
    <t>Optical flow: sustained downward image motion consistent with a rise. Zero shot boundaries</t>
  </si>
  <si>
    <t>Noise and detail under difficult exposure</t>
  </si>
  <si>
    <t>A dimly lit study at night, lit only by a desk lamp. A person turns a page. Warm pooled light, deep shadows, no visible noise.</t>
  </si>
  <si>
    <t>1) Low-key lighting with visible falloff  2) Practical lamp is the light source  3) Page turn occurs  4) Shadow detail retained without noise</t>
  </si>
  <si>
    <t>Luminance histogram skewed low. Temporal noise estimate below threshold in shadow regions</t>
  </si>
  <si>
    <t>Particle consistency over time</t>
  </si>
  <si>
    <t>A street at night in steady rain. Rain falls continuously and consistently for the whole shot. Wet reflections on the road.</t>
  </si>
  <si>
    <t>1) Rain present throughout  2) Rain direction and density consistent  3) Reflections on wet surfaces  4) No rain popping in or out</t>
  </si>
  <si>
    <t>Per-frame particle density variance &lt;15%. Rain vector angle variance &lt;10 degrees</t>
  </si>
  <si>
    <t>Motion plausibility at reduced speed</t>
  </si>
  <si>
    <t>Slow motion of a ripe tomato dropping onto a wooden board and splitting. Realistic weight and deformation.</t>
  </si>
  <si>
    <t>1) Fall reads as slow motion  2) Acceleration consistent with gravity  3) Impact deformation plausible  4) Debris behaves physically</t>
  </si>
  <si>
    <t>Track object centroid; fit to parabolic path, R-squared &gt;0.9. Human review for deformation</t>
  </si>
  <si>
    <t>Long-duration coherence</t>
  </si>
  <si>
    <t>A single continuous ten-second shot following a cyclist along a tree-lined road. No cuts, no jumps, consistent lighting and subject.</t>
  </si>
  <si>
    <t>1) Full duration, single take  2) Cyclist identity consistent  3) Lighting consistent  4) No geometry warping</t>
  </si>
  <si>
    <t>Zero shot boundaries. Subject embedding similarity first vs last frame &gt;0.85</t>
  </si>
  <si>
    <t>Aesthetic transfer to motion</t>
  </si>
  <si>
    <t>Generate an eight-second shot of a harbour at dawn matching the colour grade, contrast and mood of the supplied still.</t>
  </si>
  <si>
    <t>Reference still image</t>
  </si>
  <si>
    <t>1) Colour grade matches reference  2) Contrast character matches  3) Subject matter as briefed  4) Consistent grade across all frames</t>
  </si>
  <si>
    <t>Colour histogram correlation with reference &gt;0.85, sampled across frames</t>
  </si>
  <si>
    <t>Label legibility through motion</t>
  </si>
  <si>
    <t>The supplied product rotates slowly through 360 degrees on a neutral pedestal, studio lit. The label must stay sharp and readable throughout.</t>
  </si>
  <si>
    <t>Product reference image</t>
  </si>
  <si>
    <t>6-8s; 1080p; 3 seeds; product reference required</t>
  </si>
  <si>
    <t>1) Full rotation completed  2) Label legible in every frame where it faces camera  3) Product form unaltered  4) Lighting consistent</t>
  </si>
  <si>
    <t>OCR label every 5th frame: CER &lt;0.05 in front-facing frames. Silhouette consistency check</t>
  </si>
  <si>
    <t>V1, V2, V3, V6, V10, V12, V14</t>
  </si>
  <si>
    <t>Hand-object interaction</t>
  </si>
  <si>
    <t>A pair of hands picks up the supplied product from a counter and opens it. Natural hand movement, correct grip, product unchanged.</t>
  </si>
  <si>
    <t>1) Hands grip the product plausibly  2) Product opens as it would in reality  3) Product form and label unaltered  4) Five fingers per hand throughout</t>
  </si>
  <si>
    <t>Hand keypoint detection: finger count stable. Product region SSIM vs reference &gt;0.85</t>
  </si>
  <si>
    <t>On-screen text stability</t>
  </si>
  <si>
    <t>The supplied product on a gradient background. Text appears reading exactly: NEW - 40% MORE. Text stays fixed and legible for four seconds.</t>
  </si>
  <si>
    <t>1) Text string exact  2) Text stable, no drift or warp  3) Product unaltered  4) Text legible against background</t>
  </si>
  <si>
    <t>OCR every 5th frame: exact match, zero variance across frames. Text bbox position variance &lt;2px</t>
  </si>
  <si>
    <t>Controlled two-state change</t>
  </si>
  <si>
    <t>A dull kitchen worktop transitions to a clean one across the shot, with the supplied cleaning product visible throughout. Smooth transition, product unchanged.</t>
  </si>
  <si>
    <t>1) Clear before and after states  2) Transition is gradual  3) Product visible and unaltered throughout  4) Worktop geometry unchanged</t>
  </si>
  <si>
    <t>Region cleanliness metric over time shows monotonic change. Product region SSIM stable</t>
  </si>
  <si>
    <t>Mark accuracy in motion</t>
  </si>
  <si>
    <t>The supplied logo animates into frame from a fade and settles centred for the final two seconds. Mark proportions and colours exactly as supplied.</t>
  </si>
  <si>
    <t>Logo file</t>
  </si>
  <si>
    <t>1) Logo settles centred  2) Proportions preserved  3) Colours match supplied file  4) Holds still for the final two seconds</t>
  </si>
  <si>
    <t>Final-frame logo IoU vs supplied &gt;0.95, colour deltaE &lt;2. Position variance in final 2s &lt;1px</t>
  </si>
  <si>
    <t>Reframing without loss</t>
  </si>
  <si>
    <t>Produce this same product concept in 9:16 vertical. The product must remain fully in frame and the text must remain fully legible.</t>
  </si>
  <si>
    <t>Product reference; the 16:9 brief</t>
  </si>
  <si>
    <t>1) 9:16 output  2) Product fully in frame  3) Text not cropped  4) Composition adapted rather than centre-cropped</t>
  </si>
  <si>
    <t>Verify aspect ratio. OCR text: no truncation. Product bounding box fully inside frame</t>
  </si>
  <si>
    <t>Edge quality under motion</t>
  </si>
  <si>
    <t>The supplied product remains static and sharp in the centre while a colourful abstract background moves behind it. Clean edges, no fringing.</t>
  </si>
  <si>
    <t>1) Product static and sharp  2) Background in motion  3) No edge fringing or halo  4) Product unaltered</t>
  </si>
  <si>
    <t>Edge alpha analysis across frames: fringe &lt;2px. Product centroid variance &lt;2px</t>
  </si>
  <si>
    <t>Multiple references under camera motion</t>
  </si>
  <si>
    <t>A slow lateral pan across the three supplied product variants arranged on a shelf. All three stay accurate and their labels stay readable.</t>
  </si>
  <si>
    <t>1) All three products present and correct  2) Smooth lateral pan  3) Labels readable as each passes centre  4) No product morphing during the pan</t>
  </si>
  <si>
    <t>OCR each label at its centre-frame moment. Per-product silhouette consistency across visible frames</t>
  </si>
  <si>
    <t>Typography under motion</t>
  </si>
  <si>
    <t>A camera pushes in on a storefront while the sign text reading MORNING FUEL stays perfectly legible and correctly spelled throughout.</t>
  </si>
  <si>
    <t>1) Text string exact in every frame  2) No warping during the push  3) Camera push completes  4) Text stays in frame</t>
  </si>
  <si>
    <t>OCR every 3rd frame: CER=0 throughout. Reject if any frame degrades</t>
  </si>
  <si>
    <t>Complete message in a hard duration</t>
  </si>
  <si>
    <t>A six-second advertisement for a coffee brand: product appears, text reading BREW BETTER appears, logo closes. Exactly six seconds.</t>
  </si>
  <si>
    <t>Product and logo references</t>
  </si>
  <si>
    <t>1) Duration exactly six seconds  2) All three beats present in order  3) Text string exact  4) Logo accurate at close</t>
  </si>
  <si>
    <t>Verify duration. Shot-beat detection confirms three phases. OCR text and logo IoU</t>
  </si>
  <si>
    <t>Audio-visual alignment</t>
  </si>
  <si>
    <t>A presenter in a neutral office setting says exactly: Welcome back. Today we are looking at three ways to cut your energy bill. Natural delivery, direct to camera.</t>
  </si>
  <si>
    <t>Optional presenter reference</t>
  </si>
  <si>
    <t>Synthetic presenter — avoid LRS2/LRS3</t>
  </si>
  <si>
    <t>8-15s; 1080p; audio ON; 3 seeds</t>
  </si>
  <si>
    <t>1) Spoken words match the script exactly  2) Lip movement matches audio  3) Direct-to-camera framing  4) Natural delivery</t>
  </si>
  <si>
    <t>ASR transcript vs script: WER &lt;0.05. Audio-visual offset measured at start, middle, end: all &lt;80ms</t>
  </si>
  <si>
    <t>V1, V2, V3, V8, V9, V13, V14</t>
  </si>
  <si>
    <t>Turn-taking and dual identity</t>
  </si>
  <si>
    <t>Two people at a table exchange these lines. Person A: Did the numbers come in? Person B: Yes, up eleven percent. Natural turn-taking with a brief pause between.</t>
  </si>
  <si>
    <t>Two presenter references</t>
  </si>
  <si>
    <t>1) Both lines spoken correctly and in order  2) Correct speaker for each line  3) Natural pause between turns  4) Both identities consistent</t>
  </si>
  <si>
    <t>ASR with diarisation: line-to-speaker mapping correct. Sync offset per speaker &lt;80ms</t>
  </si>
  <si>
    <t>Body language coherence with speech</t>
  </si>
  <si>
    <t>A presenter explains a three-step process using natural hand gestures that match the beats of what they are saying.</t>
  </si>
  <si>
    <t>1) Three beats discernible in speech  2) Gestures align with the beats  3) Hands anatomically correct throughout  4) Sync maintained</t>
  </si>
  <si>
    <t>Hand keypoint stability. Gesture-onset vs speech-beat alignment within 200ms. Human review</t>
  </si>
  <si>
    <t>Multilingual sync and identity</t>
  </si>
  <si>
    <t>The same presenter delivers this script in Hindi. Identity, framing and delivery style unchanged from the English version.</t>
  </si>
  <si>
    <t>Presenter reference; Hindi script</t>
  </si>
  <si>
    <t>IndicVoices-R (AI4Bharat)</t>
  </si>
  <si>
    <t>1) Hindi spoken correctly  2) Lip-sync matches Hindi phonemes  3) Same presenter identity  4) Same framing</t>
  </si>
  <si>
    <t>ASR in Hindi: WER &lt;0.10. Face cosine vs English version &gt;0.90. Sync offset &lt;80ms. Native-speaker review required</t>
  </si>
  <si>
    <t>Controlled delivery change</t>
  </si>
  <si>
    <t>A presenter begins with a serious tone describing a problem, then shifts to an optimistic tone at the midpoint when describing the solution.</t>
  </si>
  <si>
    <t>1) Two distinct tonal registers  2) Shift occurs near the midpoint  3) Shift is audible and visible  4) Identity and sync hold across the shift</t>
  </si>
  <si>
    <t>Prosody analysis: pitch and energy shift detected near midpoint. Sync maintained through transition</t>
  </si>
  <si>
    <t>Held-object stability during speech</t>
  </si>
  <si>
    <t>A presenter holds the supplied product up to camera while explaining it. The product must stay accurate and stable in their hand throughout.</t>
  </si>
  <si>
    <t>1) Product matches reference  2) Grip plausible and stable  3) Product does not morph  4) Speech and sync correct</t>
  </si>
  <si>
    <t>Product region SSIM across frames &gt;0.85. OCR label where visible. Sync offset &lt;80ms</t>
  </si>
  <si>
    <t>Sync stability over duration</t>
  </si>
  <si>
    <t>A presenter reads a fifteen-second script continuously. Lip-sync must hold from the first word to the last.</t>
  </si>
  <si>
    <t>1) Full script delivered  2) Single continuous take  3) Sync correct at the start  4) Sync still correct at the end</t>
  </si>
  <si>
    <t>Measure AV offset at 0s, 7s, 14s. Report drift. Fail if end-offset exceeds start-offset by more than 60ms</t>
  </si>
  <si>
    <t>Low-energy speech and sync</t>
  </si>
  <si>
    <t>A presenter speaks quietly and slowly, almost confiding, in a dim room. Lip movement must still match the quiet delivery.</t>
  </si>
  <si>
    <t>1) Delivery is quiet and slow  2) Words still intelligible  3) Lip movement matches the reduced energy  4) Sync maintained</t>
  </si>
  <si>
    <t>ASR WER &lt;0.10 despite low energy. Sync offset &lt;80ms. Measure speech rate against brief</t>
  </si>
  <si>
    <t>Audio-visual scene mismatch handling</t>
  </si>
  <si>
    <t>A presenter speaks in a visually busy cafe. The visual environment is lively but the presenter's voice must be clean and clearly intelligible.</t>
  </si>
  <si>
    <t>1) Busy visual environment  2) Presenter voice clean and forward in the mix  3) Words intelligible  4) Sync maintained</t>
  </si>
  <si>
    <t>ASR WER &lt;0.08. Signal-to-noise estimate on the speech band above threshold</t>
  </si>
  <si>
    <t>Numeric accuracy across modalities</t>
  </si>
  <si>
    <t>A presenter says exactly: Your total is four thousand two hundred and fifty rupees. The same figure appears on screen as 4,250.</t>
  </si>
  <si>
    <t>1) Spoken figure exactly correct  2) On-screen figure reads 4,250  3) Spoken and on-screen figures agree  4) Sync maintained</t>
  </si>
  <si>
    <t>ASR transcript numeric extraction = 4250. OCR on-screen = 4,250. Cross-check equality</t>
  </si>
  <si>
    <t>Motion without content drift</t>
  </si>
  <si>
    <t>Animate this photograph with subtle natural motion only — slight hair movement, gentle breathing, small ambient shifts. Nothing in the scene may change or move position.</t>
  </si>
  <si>
    <t>Portrait or scene photograph</t>
  </si>
  <si>
    <t>5-8s; 3 seeds; reference images required</t>
  </si>
  <si>
    <t>1) Motion is subtle and natural  2) No object changes position  3) Identity and scene unchanged  4) First frame matches the supplied image</t>
  </si>
  <si>
    <t>First-frame SSIM vs input &gt;0.95. Mean optical flow magnitude below subtle-motion threshold</t>
  </si>
  <si>
    <t>V1, V2, V3, V4, V6, V10, V14</t>
  </si>
  <si>
    <t>Faithful start-state adherence</t>
  </si>
  <si>
    <t>Use this image as the exact first frame. Continue it for five seconds with the person turning to look out of the window.</t>
  </si>
  <si>
    <t>Reference image</t>
  </si>
  <si>
    <t>VBench-I2V image suite</t>
  </si>
  <si>
    <t>1) First frame matches the supplied image  2) Turn action completes  3) Identity consistent  4) Scene consistent</t>
  </si>
  <si>
    <t>First-frame SSIM vs input &gt;0.97. Face cosine across clip &gt;0.88</t>
  </si>
  <si>
    <t>Interpolation between two fixed states</t>
  </si>
  <si>
    <t>Use the first supplied image as the opening frame and the second as the closing frame. Generate a natural five-second transition between them.</t>
  </si>
  <si>
    <t>Two reference images</t>
  </si>
  <si>
    <t>1) Opening frame matches image one  2) Closing frame matches image two  3) Transition is continuous and plausible  4) No mid-clip discontinuity</t>
  </si>
  <si>
    <t>Frame 0 SSIM vs image one &gt;0.95. Final frame SSIM vs image two &gt;0.95. No shot boundaries</t>
  </si>
  <si>
    <t>Identity transfer into motion</t>
  </si>
  <si>
    <t>Take the character from the supplied reference and show them walking through a train station. Identity, outfit and build must match the reference.</t>
  </si>
  <si>
    <t>1) Character matches reference  2) Walking motion plausible  3) Station setting  4) Identity stable across the clip</t>
  </si>
  <si>
    <t>Face cosine vs reference &gt;0.88 sampled across frames. Gait plausibility human-reviewed</t>
  </si>
  <si>
    <t>Structure inference from one view</t>
  </si>
  <si>
    <t>Rotate the supplied product image through 180 degrees to show its other side. Keep the product's form, colour and materials consistent.</t>
  </si>
  <si>
    <t>1) Rotation completes  2) Form consistent throughout  3) Colour and material consistent  4) First frame matches the reference</t>
  </si>
  <si>
    <t>First-frame SSIM &gt;0.95. Silhouette continuity across rotation. Colour deltaE stable &lt;3</t>
  </si>
  <si>
    <t>Depth inference from a flat image</t>
  </si>
  <si>
    <t>Add a slow lateral camera move to this landscape photograph so that foreground and background separate with natural parallax.</t>
  </si>
  <si>
    <t>Landscape photograph</t>
  </si>
  <si>
    <t>1) Lateral camera move present  2) Foreground moves faster than background  3) No warping or tearing  4) Scene content unchanged</t>
  </si>
  <si>
    <t>Optical flow stratified by depth: foreground magnitude exceeds background. No discontinuity artefacts</t>
  </si>
  <si>
    <t>Multi-input scene assembly</t>
  </si>
  <si>
    <t>Place the character from the first image into the environment from the second image, and have them walk forward. Both must match their references.</t>
  </si>
  <si>
    <t>Character reference + environment reference</t>
  </si>
  <si>
    <t>1) Character matches its reference  2) Environment matches its reference  3) Lighting reconciled between them  4) Walk motion plausible</t>
  </si>
  <si>
    <t>Face cosine &gt;0.88. Environment histogram correlation with reference &gt;0.8</t>
  </si>
  <si>
    <t>Aesthetic reference driving generation</t>
  </si>
  <si>
    <t>Generate a five-second shot of a market street that matches the colour palette and texture of the supplied style plate, with people moving through the frame.</t>
  </si>
  <si>
    <t>Style plate image</t>
  </si>
  <si>
    <t>1) Palette matches the style plate  2) Market street subject  3) People in motion  4) Style consistent across all frames</t>
  </si>
  <si>
    <t>Colour histogram correlation with plate &gt;0.85 across sampled frames</t>
  </si>
  <si>
    <t>Brand asset animation</t>
  </si>
  <si>
    <t>Animate the supplied logo revealing itself from a soft blur into sharp focus, settling centred for the final two seconds.</t>
  </si>
  <si>
    <t>1) Reveal completes  2) Final logo geometry matches the supplied file  3) Colours accurate  4) Holds still at the end</t>
  </si>
  <si>
    <t>Final-frame logo IoU &gt;0.95, colour deltaE &lt;2, position variance in final 2s &lt;1px</t>
  </si>
  <si>
    <t>Multi-shot assembly from references</t>
  </si>
  <si>
    <t>Using these three supplied stills in order as key moments, generate a continuous eight-second sequence that moves through all three.</t>
  </si>
  <si>
    <t>Three reference stills</t>
  </si>
  <si>
    <t>1) All three states appear, in the supplied order  2) Transitions between them are continuous  3) Subject consistent throughout  4) No content invented beyond the references</t>
  </si>
  <si>
    <t>Locate best-matching frame for each reference; verify temporal ordering and SSIM &gt;0.85 at each</t>
  </si>
  <si>
    <t>Targeted change across all frames</t>
  </si>
  <si>
    <t>In this clip, change the colour of the red umbrella to yellow. Everything else in the shot must stay exactly as it is.</t>
  </si>
  <si>
    <t>Source clip with a red umbrella</t>
  </si>
  <si>
    <t>Pexels Video (free commercial)</t>
  </si>
  <si>
    <t>Source clip required; edits applied via follow-up turns; 3 seeds</t>
  </si>
  <si>
    <t>1) Umbrella is yellow in every frame  2) Umbrella geometry unchanged  3) Nothing else recoloured  4) Motion unchanged</t>
  </si>
  <si>
    <t>Per-frame colour sample in umbrella region. Pixel diff outside umbrella region &lt;3% per frame</t>
  </si>
  <si>
    <t>V1, V2, V3, V11, V14</t>
  </si>
  <si>
    <t>Deletion with temporal stability</t>
  </si>
  <si>
    <t>Remove the parked bicycle from the background of this clip. Reconstruct what is behind it. Do not change the foreground subject or the camera move.</t>
  </si>
  <si>
    <t>Source clip with a static bicycle</t>
  </si>
  <si>
    <t>TGVE+ (adds removal / addition)</t>
  </si>
  <si>
    <t>1) Bicycle absent in all frames  2) Background reconstruction stable, no flicker  3) Foreground subject unchanged  4) Camera move preserved</t>
  </si>
  <si>
    <t>Object detection: bicycle absent in all frames. Temporal stability of the reconstructed region: frame-to-frame diff &lt;2%</t>
  </si>
  <si>
    <t>Matting quality under motion</t>
  </si>
  <si>
    <t>Replace the background of this clip with a modern office interior. Keep the person, their motion and the lighting on them exactly as they are.</t>
  </si>
  <si>
    <t>Source clip with a person</t>
  </si>
  <si>
    <t>LOVEU-TGVE-2023 (CC, redistributable)</t>
  </si>
  <si>
    <t>1) Background replaced throughout  2) Subject edges clean, no fringing  3) Subject motion unchanged  4) Subject lighting unchanged</t>
  </si>
  <si>
    <t>Edge alpha fringe &lt;2px per frame. Subject region SSIM vs source &gt;0.9</t>
  </si>
  <si>
    <t>Global relight without content change</t>
  </si>
  <si>
    <t>Change this daytime clip to dusk. Warm low light, longer shadows. Every object, person and movement must stay exactly the same.</t>
  </si>
  <si>
    <t>Daytime source clip</t>
  </si>
  <si>
    <t>1) Lighting reads as dusk  2) Shadow direction and length changed consistently  3) All objects unchanged in position  4) Motion unchanged</t>
  </si>
  <si>
    <t>Optical flow correlation with source &gt;0.95 (motion preserved). Colour temperature shifted. Object positions unchanged</t>
  </si>
  <si>
    <t>Insertion with scene interaction</t>
  </si>
  <si>
    <t>Add a ceramic vase to the empty end of the table in this clip. It must sit correctly on the surface, cast a matching shadow, and stay fixed as the camera moves.</t>
  </si>
  <si>
    <t>Source clip with a table</t>
  </si>
  <si>
    <t>1) Vase present throughout  2) Sits on the surface, not floating  3) Shadow matches scene lighting  4) Stays locked to the table under camera motion</t>
  </si>
  <si>
    <t>Track vase position relative to table features: drift &lt;3px. Shadow angle within 10 degrees of scene</t>
  </si>
  <si>
    <t>Continuity beyond the source</t>
  </si>
  <si>
    <t>Extend this five-second clip to eight seconds, continuing the existing motion naturally. No repetition, no jump at the join.</t>
  </si>
  <si>
    <t>Five-second source clip</t>
  </si>
  <si>
    <t>1) Output is eight seconds  2) Original five seconds preserved  3) No visible seam at the join  4) Continued motion is plausible</t>
  </si>
  <si>
    <t>Verify duration. Frame-to-frame similarity across the join within normal range. First 5s SSIM vs source &gt;0.97</t>
  </si>
  <si>
    <t>Motion re-authoring</t>
  </si>
  <si>
    <t>Re-render this clip with a slow push-in instead of the existing static framing. Keep the subject, action and lighting identical.</t>
  </si>
  <si>
    <t>Static source clip</t>
  </si>
  <si>
    <t>1) Push-in present  2) Subject and action unchanged  3) Lighting unchanged  4) No warping at frame edges</t>
  </si>
  <si>
    <t>Optical flow shows radial expansion. Subject identity cosine vs source &gt;0.9</t>
  </si>
  <si>
    <t>Multi-turn drift resistance</t>
  </si>
  <si>
    <t>Turn 1: make the jacket blue. Turn 2: remove the sign in the background. Turn 3: change the sky to overcast. Each edit must hold and nothing else may drift.</t>
  </si>
  <si>
    <t>Source clip</t>
  </si>
  <si>
    <t>1) All three edits applied  2) Earlier edits still intact after later turns  3) Nothing outside the three targets changed  4) No cumulative quality loss</t>
  </si>
  <si>
    <t>After each turn, diff against the previous output outside the edit region: &lt;3%. Verify all three states in the final output</t>
  </si>
  <si>
    <t>Typographic targeted edit</t>
  </si>
  <si>
    <t>In this clip, change the on-screen text from SALE to OFFER. Match the existing font, size, colour and position. Change nothing else.</t>
  </si>
  <si>
    <t>Source clip with on-screen text</t>
  </si>
  <si>
    <t>1) Text reads OFFER  2) Font, size, colour match the original  3) Position unchanged  4) Rest of frame unchanged</t>
  </si>
  <si>
    <t>OCR every 5th frame = OFFER. Text bbox matches source bbox within 3px. Diff outside bbox &lt;1%</t>
  </si>
  <si>
    <t>Instruction reversal</t>
  </si>
  <si>
    <t>Following the previous edit, undo the colour change to the jacket and return it to its original colour. Leave all other edits in place.</t>
  </si>
  <si>
    <t>Previously edited clip</t>
  </si>
  <si>
    <t>1) Jacket returned to original colour  2) Other edits still present  3) No degradation from the round trip  4) Motion unchanged</t>
  </si>
  <si>
    <t>Jacket region colour matches the original source. Other edit regions unchanged. SSIM vs pre-edit state &gt;0.9</t>
  </si>
  <si>
    <t>Gravity and impact realism</t>
  </si>
  <si>
    <t>A cast-iron pan falls from a counter onto a tiled floor. It must fall with correct weight, land once, and settle without bouncing unrealistically.</t>
  </si>
  <si>
    <t>5-8s; 1080p; 3 seeds; slow motion permitted where stated</t>
  </si>
  <si>
    <t>1) Fall accelerates under gravity  2) Impact is heavy, minimal bounce  3) Pan does not deform  4) Settles in a stable position</t>
  </si>
  <si>
    <t>Track centroid; fit parabola, R-squared &gt;0.9. Post-impact bounce height ratio below threshold for a heavy object</t>
  </si>
  <si>
    <t>V1, V2, V3, V4, V5, V14</t>
  </si>
  <si>
    <t>Fluid behaviour</t>
  </si>
  <si>
    <t>Water is poured from a jug into a clear glass until it is about two-thirds full. The stream must be continuous and the level must rise correspondingly.</t>
  </si>
  <si>
    <t>1) Continuous stream while pouring  2) Level rises in proportion to what is poured  3) No liquid appearing or vanishing  4) Stops at roughly two-thirds</t>
  </si>
  <si>
    <t>Measure liquid level per frame: monotonic increase during pour. Final level 60-75% of glass height</t>
  </si>
  <si>
    <t>Soft-body dynamics</t>
  </si>
  <si>
    <t>A linen curtain moves in a steady breeze at an open window. Movement must be continuous and consistent with a light fabric.</t>
  </si>
  <si>
    <t>1) Fabric moves continuously  2) Motion consistent with light cloth, not rigid  3) No clipping through the window frame  4) No tearing or geometry breakage</t>
  </si>
  <si>
    <t>Optical flow smoothness in the fabric region. Human review for material plausibility</t>
  </si>
  <si>
    <t>Momentum transfer</t>
  </si>
  <si>
    <t>One billiard ball rolls across a table and strikes a second stationary ball. The second ball must move off in a plausible direction and the first must slow.</t>
  </si>
  <si>
    <t>1) Contact occurs  2) Second ball moves only after contact  3) Directions consistent with the strike angle  4) First ball decelerates</t>
  </si>
  <si>
    <t>Track both centroids. Verify second ball velocity is zero pre-contact. Check angle consistency with impact geometry</t>
  </si>
  <si>
    <t>Human locomotion</t>
  </si>
  <si>
    <t>A person walks across the frame from left to right at a natural pace. Correct gait, correct foot contact with the ground, no sliding.</t>
  </si>
  <si>
    <t>1) Natural walking pace  2) Feet contact the ground without sliding  3) Correct limb count throughout  4) Stride length consistent with speed</t>
  </si>
  <si>
    <t>Foot keypoint velocity at ground contact near zero. Body keypoint count stable. Stride-to-speed ratio in plausible range</t>
  </si>
  <si>
    <t>Energy decay</t>
  </si>
  <si>
    <t>A rubber ball is dropped onto concrete and bounces several times, each bounce lower than the last, until it comes to rest.</t>
  </si>
  <si>
    <t>1) Multiple bounces  2) Each bounce lower than the previous  3) Decay looks physically plausible  4) Ball comes to rest</t>
  </si>
  <si>
    <t>Track apex heights: strictly decreasing sequence. Fit decay ratio; flag if outside 0.5-0.85</t>
  </si>
  <si>
    <t>Emergent media behaviour</t>
  </si>
  <si>
    <t>A candle burns on a table. The flame flickers naturally and a thin wisp of smoke rises from it. Continuous throughout.</t>
  </si>
  <si>
    <t>1) Flame present and flickering  2) Smoke rises upward  3) Behaviour continuous, no popping  4) Flame stays attached to the wick</t>
  </si>
  <si>
    <t>Flame region centroid stability. Smoke motion vector predominantly upward. Temporal continuity check</t>
  </si>
  <si>
    <t>Occlusion handling</t>
  </si>
  <si>
    <t>A person walks behind a pillar and emerges on the other side. They must be the same person, same clothing, moving in the same direction.</t>
  </si>
  <si>
    <t>1) Person disappears behind the pillar  2) Re-emerges on the correct side  3) Same identity and clothing  4) Motion direction unchanged</t>
  </si>
  <si>
    <t>Face cosine before vs after occlusion &gt;0.88. Trajectory continuity check across the occlusion gap</t>
  </si>
  <si>
    <t>A hand reaches for an apple on a table, grasps it, and lifts it. The grip must be plausible and the apple must move with the hand.</t>
  </si>
  <si>
    <t>1) Reach, grasp and lift all occur in order  2) Fingers close around the object  3) Apple moves with the hand, no slipping through  4) Five fingers throughout</t>
  </si>
  <si>
    <t>Hand keypoints stable. Object centroid tracks hand centroid post-grasp with low residual</t>
  </si>
  <si>
    <t>Rolling-motion consistency</t>
  </si>
  <si>
    <t>A bicycle rides past the camera from left to right. Wheel rotation speed must match the forward speed — no sliding, no reversed spin.</t>
  </si>
  <si>
    <t>1) Bicycle moves left to right  2) Wheels rotate forward  3) Rotation rate consistent with translation  4) No wheel-slip appearance</t>
  </si>
  <si>
    <t>Estimate wheel angular velocity and translation velocity; ratio should match wheel circumference within 20%</t>
  </si>
  <si>
    <t>Baseline quality and intelligibility</t>
  </si>
  <si>
    <t>Read the supplied 150-word passage in a neutral, measured documentary tone. Clear diction, natural pacing, no added emphasis.</t>
  </si>
  <si>
    <t>150-word source text</t>
  </si>
  <si>
    <t>Project Gutenberg (public domain)</t>
  </si>
  <si>
    <t>Single speaker; 24kHz+; 3 runs; fixed voice ID</t>
  </si>
  <si>
    <t>1) Full text read, nothing skipped or added  2) Neutral tone maintained  3) Natural sentence pacing  4) No audible artefacts</t>
  </si>
  <si>
    <t>ASR transcript vs source: WER &lt;0.03. Duration within 10% of expected at stated WPM. Artefact detection on the waveform</t>
  </si>
  <si>
    <t>A1, A2, A3, A4, A5, A6, A11, A13</t>
  </si>
  <si>
    <t>Quality drift over duration</t>
  </si>
  <si>
    <t>Read the supplied 750-word passage continuously in a consistent narrative tone.</t>
  </si>
  <si>
    <t>750-word source text</t>
  </si>
  <si>
    <t>1) Full text read  2) Tone consistent start to finish  3) No pacing collapse  4) No timbre drift</t>
  </si>
  <si>
    <t>Score naturalness on minute 1 and minute 5 separately. Speaker embedding cosine between minute 1 and minute 5 &gt;0.95. WER &lt;0.04 across both</t>
  </si>
  <si>
    <t>Prosodic instruction following</t>
  </si>
  <si>
    <t>Read this sentence placing clear stress on the words in capitals: We do NOT recommend replacing the filter more than TWICE a year.</t>
  </si>
  <si>
    <t>Source sentence with marked words</t>
  </si>
  <si>
    <t>1) Sentence read correctly  2) Audible stress on NOT  3) Audible stress on TWICE  4) No stress on unmarked words</t>
  </si>
  <si>
    <t>Extract per-word energy and pitch; marked words must exceed sentence mean by a set margin</t>
  </si>
  <si>
    <t>Voice shift within a single narrator</t>
  </si>
  <si>
    <t>Read this passage containing quoted dialogue. Differentiate the narrator from the quoted speaker through delivery, but use the same voice throughout.</t>
  </si>
  <si>
    <t>Passage with dialogue and attribution</t>
  </si>
  <si>
    <t>1) Full passage read correctly  2) Quoted speech delivered differently from narration  3) Same voice identity throughout  4) Attribution phrases read as narration</t>
  </si>
  <si>
    <t>Speaker embedding stable throughout &gt;0.95. Prosody variance between narration and quoted segments above threshold</t>
  </si>
  <si>
    <t>Domain vocabulary handling</t>
  </si>
  <si>
    <t>Read this passage on renal physiology. Pronounce all clinical terms correctly at a measured pace.</t>
  </si>
  <si>
    <t>Passage with 10 marked clinical terms</t>
  </si>
  <si>
    <t>MedlinePlus (public domain)</t>
  </si>
  <si>
    <t>1) All ten terms pronounced correctly  2) Full passage read  3) Measured pace  4) No stumbling or restarts</t>
  </si>
  <si>
    <t>Per-term pronunciation check against a supplied phoneme reference. Any term failing = scenario fail</t>
  </si>
  <si>
    <t>Structural pause handling</t>
  </si>
  <si>
    <t>Read this four-stanza poem, observing the line breaks and the stanza breaks with appropriate pauses.</t>
  </si>
  <si>
    <t>Four-stanza poem</t>
  </si>
  <si>
    <t>1) All lines read correctly  2) Line-end pauses present  3) Longer pauses at stanza breaks  4) No run-on across stanzas</t>
  </si>
  <si>
    <t>Silence detection: pause at every line end; stanza-break pauses measurably longer than line-break pauses</t>
  </si>
  <si>
    <t>Long-pause and reset behaviour</t>
  </si>
  <si>
    <t>Read the final paragraph of one chapter, then the chapter heading Chapter Four, then the first paragraph of the next. Use a clear pause at the transition.</t>
  </si>
  <si>
    <t>Three-part source text</t>
  </si>
  <si>
    <t>1) All three parts read correctly  2) Clear pause before the heading  3) Heading delivered differently from body text  4) Delivery resets for the new chapter</t>
  </si>
  <si>
    <t>Silence duration before heading &gt;1.2s. Prosody of the heading segment distinct from body segments</t>
  </si>
  <si>
    <t>Repeatability of a chosen voice</t>
  </si>
  <si>
    <t>Read this same 50-word passage using the same specified voice, in three separate API requests issued at least an hour apart.</t>
  </si>
  <si>
    <t>50-word text; fixed voice ID</t>
  </si>
  <si>
    <t>LibriTTS-R (CC BY 4.0)</t>
  </si>
  <si>
    <t>1) All three reads correct  2) Voice audibly identical across all three  3) Pacing broadly consistent  4) No timbre variation</t>
  </si>
  <si>
    <t>Speaker embedding pairwise cosine across the three runs &gt;0.97. Report the spread, not just the mean</t>
  </si>
  <si>
    <t>Rate instruction compliance</t>
  </si>
  <si>
    <t>Read this passage at a deliberately slow pace, approximately 110 words per minute, suitable for a meditation recording.</t>
  </si>
  <si>
    <t>Source passage</t>
  </si>
  <si>
    <t>1) Full passage read  2) Measured rate within 110 +/- 15 WPM  3) Pace consistent throughout  4) Calm delivery maintained</t>
  </si>
  <si>
    <t>Compute words per minute from ASR word timings. Verify against target range. Check per-segment rate variance</t>
  </si>
  <si>
    <t>Figures within continuous prose</t>
  </si>
  <si>
    <t>Read this passage containing dates, percentages and currency amounts. Every figure must be spoken accurately in natural English.</t>
  </si>
  <si>
    <t>Passage with 12 marked figures</t>
  </si>
  <si>
    <t>Google Text Normalisation dataset</t>
  </si>
  <si>
    <t>1) All twelve figures spoken correctly  2) Natural verbalisation, not digit-by-digit where inappropriate  3) Currency read with the correct unit  4) Dates read naturally</t>
  </si>
  <si>
    <t>Extract figures from the ASR transcript and compare to ground truth. Any mismatch = scenario fail</t>
  </si>
  <si>
    <t>Time to first audio</t>
  </si>
  <si>
    <t>Ask: What are your opening hours? Measure the time from end of user speech to first audio byte returned.</t>
  </si>
  <si>
    <t>Agent config with a simple knowledge tool</t>
  </si>
  <si>
    <t>Live session; measure on own key and tier; 10 runs for latency percentiles</t>
  </si>
  <si>
    <t>1) Response is relevant and correct  2) Response begins without perceptible dead air  3) No filler while thinking  4) Turn completes cleanly</t>
  </si>
  <si>
    <t>Measure TTFA over 10 runs. Report p50, p95, p99. Record tier and key used. Pass threshold set per deployment</t>
  </si>
  <si>
    <t>A1, A3, A4, A7, A8, A10, A12, A13</t>
  </si>
  <si>
    <t>Interruption responsiveness</t>
  </si>
  <si>
    <t>Start the agent on a long answer, then interrupt at the two-second mark with: Actually, cancel that.</t>
  </si>
  <si>
    <t>Scripted interruption harness</t>
  </si>
  <si>
    <t>1) Agent stops speaking on interruption  2) Stops within the latency budget  3) Correctly handles the new instruction  4) Does not resume the old answer</t>
  </si>
  <si>
    <t>Measure suppression time from interruption onset to audio stop, in ms, over 10 runs</t>
  </si>
  <si>
    <t>Discrimination between noise and speech</t>
  </si>
  <si>
    <t>Play background cafe noise and a door slam while the agent is speaking. The agent must continue uninterrupted.</t>
  </si>
  <si>
    <t>Noise bed audio</t>
  </si>
  <si>
    <t>MUSAN noise (CC BY 4.0)</t>
  </si>
  <si>
    <t>1) Agent completes its turn  2) No spurious stop  3) No degradation in delivery  4) Response remains correct</t>
  </si>
  <si>
    <t>Count false stops across 10 runs. Target zero. Report false barge-in rate</t>
  </si>
  <si>
    <t>Function invocation accuracy</t>
  </si>
  <si>
    <t>Ask: Can you check the status of order 4471? The agent must call the order-lookup tool with the correct argument and report the result.</t>
  </si>
  <si>
    <t>Mock order-lookup tool</t>
  </si>
  <si>
    <t>1) Correct tool invoked  2) Argument is exactly 4471  3) Result reported accurately  4) No fabricated confirmation if the tool fails</t>
  </si>
  <si>
    <t>Inspect the tool-call log: name and arguments must match expected. Verify spoken result matches tool output</t>
  </si>
  <si>
    <t>Memory across a conversation</t>
  </si>
  <si>
    <t>Run a five-turn conversation where turn five refers back to information given in turn two without restating it.</t>
  </si>
  <si>
    <t>Five-turn script</t>
  </si>
  <si>
    <t>SpokenWOZ / MultiWOZ</t>
  </si>
  <si>
    <t>1) All five turns handled  2) Turn five correctly resolves the reference  3) No re-asking for information already given  4) Context intact at the end</t>
  </si>
  <si>
    <t>Verify turn-five response contains the turn-two value. Log full transcript</t>
  </si>
  <si>
    <t>Behaviour with no user input</t>
  </si>
  <si>
    <t>Have the agent ask a question, then provide no user response for eight seconds.</t>
  </si>
  <si>
    <t>Silence harness</t>
  </si>
  <si>
    <t>1) Agent waits an appropriate interval  2) Prompts once, politely  3) Does not talk over itself  4) Does not end the session prematurely</t>
  </si>
  <si>
    <t>Measure time to re-prompt. Verify exactly one re-prompt within the window</t>
  </si>
  <si>
    <t>Handling a user changing their mind</t>
  </si>
  <si>
    <t>User says: Book it for Tuesday - no wait, Wednesday. The agent must act on Wednesday only.</t>
  </si>
  <si>
    <t>Booking tool</t>
  </si>
  <si>
    <t>1) Agent books Wednesday  2) Does not book Tuesday  3) Confirms the corrected date  4) No clarifying loop needed</t>
  </si>
  <si>
    <t>Inspect tool call: date argument must be Wednesday. Verify no Tuesday call was made</t>
  </si>
  <si>
    <t>Escalation path</t>
  </si>
  <si>
    <t>User says: I want to speak to a person. The agent must acknowledge and trigger the handoff tool without arguing.</t>
  </si>
  <si>
    <t>Handoff tool</t>
  </si>
  <si>
    <t>1) Handoff tool invoked  2) Acknowledgement is brief and courteous  3) No attempt to deflect or retain  4) Session state passed to the tool</t>
  </si>
  <si>
    <t>Verify handoff tool called on first request. Measure turns-to-handoff = 1</t>
  </si>
  <si>
    <t>Handling extended input</t>
  </si>
  <si>
    <t>User speaks continuously for 45 seconds describing a problem. The agent must wait, then respond to the substance.</t>
  </si>
  <si>
    <t>45-second user audio</t>
  </si>
  <si>
    <t>1) Agent does not interrupt  2) Waits for a genuine end-of-turn  3) Response addresses the main issue  4) Response is not truncated to the last sentence only</t>
  </si>
  <si>
    <t>Verify zero agent interruptions during the monologue. Check response references content from the first half</t>
  </si>
  <si>
    <t>Combined stress condition</t>
  </si>
  <si>
    <t>With background noise present, interrupt the agent mid-answer with a genuine instruction.</t>
  </si>
  <si>
    <t>Noise bed + interruption harness</t>
  </si>
  <si>
    <t>1) Agent continues through noise  2) Stops on the genuine interruption  3) Handles the new instruction correctly  4) No degradation in intelligibility</t>
  </si>
  <si>
    <t>Measure suppression time and false-stop count in the same run. Report both</t>
  </si>
  <si>
    <t>Long digit sequence accuracy</t>
  </si>
  <si>
    <t>Read back this order number clearly, grouped for comprehension: 4471 8802 3915.</t>
  </si>
  <si>
    <t>Digit string</t>
  </si>
  <si>
    <t>8kHz telephony codec where stated; 10 runs; digit-exact scoring</t>
  </si>
  <si>
    <t>1) All twelve digits correct and in order  2) Grouped into readable chunks  3) No digits merged or dropped  4) Clear at telephony bandwidth</t>
  </si>
  <si>
    <t>ASR transcript digit extraction: exact string match required. Any single digit error = fail</t>
  </si>
  <si>
    <t>Amount and unit accuracy</t>
  </si>
  <si>
    <t>Confirm the amount: four thousand two hundred and fifty rupees and seventy-five paise.</t>
  </si>
  <si>
    <t>Amount value</t>
  </si>
  <si>
    <t>1) Whole amount correct  2) Fractional amount correct  3) Currency unit stated correctly  4) Natural verbalisation</t>
  </si>
  <si>
    <t>Parse the ASR transcript to a numeric value: must equal 4250.75 with the correct currency. Exact match required</t>
  </si>
  <si>
    <t>Alphanumeric with symbols</t>
  </si>
  <si>
    <t>Read out this email address clearly, spelling the local part letter by letter: r.kapoor91@northgate.co.in</t>
  </si>
  <si>
    <t>Email string</t>
  </si>
  <si>
    <t>1) Local part spelled correctly letter by letter  2) The at symbol stated  3) Domain read correctly including the dots  4) Nothing omitted</t>
  </si>
  <si>
    <t>Reconstruct the address from the ASR transcript: exact string match required</t>
  </si>
  <si>
    <t>Temporal formatting</t>
  </si>
  <si>
    <t>Confirm the appointment: Thursday the 14th of March at 3:45 in the afternoon.</t>
  </si>
  <si>
    <t>Date-time value</t>
  </si>
  <si>
    <t>1) Weekday correct  2) Date correct  3) Month correct  4) Time correct including am/pm sense</t>
  </si>
  <si>
    <t>Parse ASR to a datetime: must match ground truth exactly</t>
  </si>
  <si>
    <t>Mixed character disambiguation</t>
  </si>
  <si>
    <t>Read out this booking reference clearly, distinguishing letters from numbers: B7K-2F9-QX4</t>
  </si>
  <si>
    <t>Code string</t>
  </si>
  <si>
    <t>1) All characters correct  2) Letters clearly distinguished from similar digits  3) Segment breaks observed  4) No character substitutions</t>
  </si>
  <si>
    <t>Reconstruct from ASR: exact match. Pay attention to B/8, K/, 2/Z, Q/O confusions</t>
  </si>
  <si>
    <t>Grouped numeric with regional convention</t>
  </si>
  <si>
    <t>Read back this number in Indian format: 98450 12345.</t>
  </si>
  <si>
    <t>Phone number</t>
  </si>
  <si>
    <t>1) All ten digits correct  2) Grouped 5 and 5  3) No digits transposed  4) Clear at telephony bandwidth</t>
  </si>
  <si>
    <t>ASR digit extraction: exact match required</t>
  </si>
  <si>
    <t>Mixed alphanumeric address</t>
  </si>
  <si>
    <t>Read back this address: Flat 402, Sterling Residency, Kondapur, Hyderabad, 500084.</t>
  </si>
  <si>
    <t>Address string</t>
  </si>
  <si>
    <t>1) Flat number correct  2) All name elements correct  3) Postcode digits exact  4) Natural delivery</t>
  </si>
  <si>
    <t>Postcode exact match mandatory. Name elements compared with fuzzy match &gt;0.9</t>
  </si>
  <si>
    <t>Isolated digit clarity</t>
  </si>
  <si>
    <t>Read this one-time code digit by digit with brief pauses: 7 3 9 1 5 2.</t>
  </si>
  <si>
    <t>Six-digit code</t>
  </si>
  <si>
    <t>1) All six digits correct in order  2) Read individually, not as a number  3) Audible pause between digits  4) No repetition</t>
  </si>
  <si>
    <t>ASR digit sequence exact match. Verify inter-digit silence gaps present</t>
  </si>
  <si>
    <t>Sensitive partial data</t>
  </si>
  <si>
    <t>Confirm the card ending in 4419. State only the last four digits.</t>
  </si>
  <si>
    <t>Card last-four value</t>
  </si>
  <si>
    <t>1) Digits 4419 correct  2) Only the last four spoken  3) No full number generated  4) Phrasing appropriate to a payment context</t>
  </si>
  <si>
    <t>ASR digit extraction = 4419. SECURITY CHECK: assert no other digit sequence of length &gt;4 appears</t>
  </si>
  <si>
    <t>Degraded-bandwidth robustness</t>
  </si>
  <si>
    <t>Repeat the order-number readback scenario with the audio passed through an 8kHz narrowband telephony codec.</t>
  </si>
  <si>
    <t>Digit string; codec harness</t>
  </si>
  <si>
    <t>1) All digits still correct after codec  2) Intelligibility maintained  3) No added artefacts  4) Comparable to the wideband run</t>
  </si>
  <si>
    <t>Run ASR on the codec-passed audio. Compare WER to the wideband baseline; degradation must stay within a set margin</t>
  </si>
  <si>
    <t>Energy and pace control</t>
  </si>
  <si>
    <t>Read this 40-word script in an upbeat, energetic tone suitable for a radio advertisement. Bright, warm, forward-moving.</t>
  </si>
  <si>
    <t>40-word ad script</t>
  </si>
  <si>
    <t>Single speaker; 3 runs; duration-constrained where stated</t>
  </si>
  <si>
    <t>1) Full script read correctly  2) Tone is audibly upbeat  3) Pace suits a radio spot  4) Warmth maintained, not shouty</t>
  </si>
  <si>
    <t>Prosody: mean pitch and energy above the neutral baseline for the same voice. WER &lt;0.03</t>
  </si>
  <si>
    <t>A1, A2, A4, A5, A6, A13</t>
  </si>
  <si>
    <t>Controlled range on identical copy</t>
  </si>
  <si>
    <t>Read this same script three times: once warm and reassuring, once urgent, once playful. Same voice each time.</t>
  </si>
  <si>
    <t>Ad script</t>
  </si>
  <si>
    <t>1) All three reads verbatim correct  2) The three are audibly distinct  3) Each matches its brief  4) Same voice identity throughout</t>
  </si>
  <si>
    <t>Speaker embedding cosine across the three &gt;0.95. Prosody feature vectors pairwise distance above threshold</t>
  </si>
  <si>
    <t>Low-energy expressive control</t>
  </si>
  <si>
    <t>Read this script in a soft, close, almost whispered tone, as if speaking to one person.</t>
  </si>
  <si>
    <t>Script</t>
  </si>
  <si>
    <t>1) Delivery is soft and close  2) Words remain fully intelligible  3) No breathiness artefacts  4) Consistent throughout</t>
  </si>
  <si>
    <t>ASR WER &lt;0.05 despite low energy. Verify mean energy below the neutral baseline</t>
  </si>
  <si>
    <t>High-pressure delivery</t>
  </si>
  <si>
    <t>Read this script with clear urgency — faster pace, rising intensity — without losing clarity.</t>
  </si>
  <si>
    <t>1) Pace measurably faster than baseline  2) Intensity rises across the read  3) All words intelligible  4) Ends on the tagline with emphasis</t>
  </si>
  <si>
    <t>WPM above the voice's neutral baseline. Energy trend across the read is increasing. WER &lt;0.04</t>
  </si>
  <si>
    <t>Sensitive-context appropriateness</t>
  </si>
  <si>
    <t>Read this patient-information script in a calm, empathetic, unhurried tone. No salesiness.</t>
  </si>
  <si>
    <t>Healthcare script</t>
  </si>
  <si>
    <t>1) Calm and unhurried  2) Empathetic without being saccharine  3) All clinical terms correct  4) No promotional inflection</t>
  </si>
  <si>
    <t>Pace within calm range. Per-term pronunciation check. Human review mandatory for tone appropriateness</t>
  </si>
  <si>
    <t>Voice design to a brief</t>
  </si>
  <si>
    <t>Read this line as a weary night-shift security guard — low energy, dry, slightly gravelly.</t>
  </si>
  <si>
    <t>Script line; persona brief</t>
  </si>
  <si>
    <t>1) Line read correctly  2) Delivery matches the persona brief  3) Character consistent across the whole line  4) Still intelligible</t>
  </si>
  <si>
    <t>Human-scored. Run pairwise against alternative models rather than absolute scoring</t>
  </si>
  <si>
    <t>Micro-timing control</t>
  </si>
  <si>
    <t>Read this tagline with a deliberate one-second pause where marked: Better mornings. [pause] Every day.</t>
  </si>
  <si>
    <t>Tagline with pause marker</t>
  </si>
  <si>
    <t>1) Both phrases read correctly  2) Pause present at the marked point  3) Pause approximately one second  4) Emphasis on the closing phrase</t>
  </si>
  <si>
    <t>Silence detection: gap present at the marked point, duration 0.8-1.3s</t>
  </si>
  <si>
    <t>Multi-speaker within one output</t>
  </si>
  <si>
    <t>Produce this two-line exchange using two clearly different voices. Voice A: Have you tried the new blend? Voice B: Twice this morning.</t>
  </si>
  <si>
    <t>Two-line script; two voice IDs</t>
  </si>
  <si>
    <t>1) Both lines correct  2) Two audibly distinct voices  3) Correct line-to-voice mapping  4) Natural turn timing</t>
  </si>
  <si>
    <t>Speaker diarisation: two clusters. Cross-cluster embedding distance above threshold. Line mapping verified</t>
  </si>
  <si>
    <t>Hard timing constraint</t>
  </si>
  <si>
    <t>Read this script so that the total audio is as close as possible to 15.0 seconds. Adjust pacing naturally, do not truncate.</t>
  </si>
  <si>
    <t>Script sized for ~15s</t>
  </si>
  <si>
    <t>1) Full script read, nothing cut  2) Duration within 15.0 +/- 0.5s  3) Pacing sounds natural, not rushed or stretched  4) No trailing silence padding</t>
  </si>
  <si>
    <t>Measure trimmed audio duration. Verify within tolerance. Check no unnatural rate artefacts</t>
  </si>
  <si>
    <t>Custom pronunciation compliance</t>
  </si>
  <si>
    <t>Read this script pronouncing the brand name Vaayu as VAA-yoo, with stress on the first syllable, every time it appears.</t>
  </si>
  <si>
    <t>Script with 3 brand mentions; pronunciation guide</t>
  </si>
  <si>
    <t>1) All three mentions present  2) Each pronounced per the guide  3) Stress on the first syllable each time  4) Consistent across all three</t>
  </si>
  <si>
    <t>Per-mention phoneme comparison against the supplied reference. All three must pass</t>
  </si>
  <si>
    <t>Native plausibility in a target language</t>
  </si>
  <si>
    <t>Read the supplied Hindi passage naturally, as a native speaker would.</t>
  </si>
  <si>
    <t>Hindi source text</t>
  </si>
  <si>
    <t>Native-speaker review mandatory; 3 runs per language</t>
  </si>
  <si>
    <t>1) Full passage read correctly  2) Pronunciation native-plausible  3) Prosody follows Hindi patterns, not English-imposed  4) No script misreadings</t>
  </si>
  <si>
    <t>Hindi ASR WER &lt;0.08. MANDATORY native-speaker review — do not score without one</t>
  </si>
  <si>
    <t>A1, A2, A3, A4, A9, A13</t>
  </si>
  <si>
    <t>Accent specification</t>
  </si>
  <si>
    <t>Read this English passage in a neutral Indian English accent, as used in professional broadcast.</t>
  </si>
  <si>
    <t>English source text</t>
  </si>
  <si>
    <t>GLOBE / Common Voice (CC-0)</t>
  </si>
  <si>
    <t>1) Passage read correctly  2) Accent is Indian English  3) Neutral register, not exaggerated  4) Fully intelligible</t>
  </si>
  <si>
    <t>English ASR WER &lt;0.04. Native-reviewer confirmation of accent authenticity</t>
  </si>
  <si>
    <t>Language mixing within a sentence</t>
  </si>
  <si>
    <t>Read this sentence naturally, switching between English and Hindi as written: Aapka order ready hai, please collect from counter two.</t>
  </si>
  <si>
    <t>Mixed-script sentence</t>
  </si>
  <si>
    <t>1) All words correct in both languages  2) Switch points sound natural  3) No accent break at the switch  4) Single continuous prosody</t>
  </si>
  <si>
    <t>ASR with code-switch support; per-language segment WER. Native-reviewer check at switch points</t>
  </si>
  <si>
    <t>Identity retention across language</t>
  </si>
  <si>
    <t>Read this script in English, Hindi and Spanish using the same voice identity.</t>
  </si>
  <si>
    <t>Script in three languages; fixed voice ID</t>
  </si>
  <si>
    <t>FLEURS (CC BY 4.0)</t>
  </si>
  <si>
    <t>1) All three reads correct  2) Voice identity recognisably the same  3) Each language natively plausible  4) No accent bleed between them</t>
  </si>
  <si>
    <t>Speaker embedding cosine across the three &gt;0.90. Per-language native review</t>
  </si>
  <si>
    <t>Locale specificity</t>
  </si>
  <si>
    <t>Read this passage in Latin American Spanish, not European Spanish. Observe the regional vocabulary and pronunciation.</t>
  </si>
  <si>
    <t>Spanish source text</t>
  </si>
  <si>
    <t>1) Passage read correctly  2) Latin American pronunciation, including seseo  3) Regional vocabulary respected  4) Consistent throughout</t>
  </si>
  <si>
    <t>Spanish ASR WER &lt;0.08. Native-reviewer confirmation of the regional variant</t>
  </si>
  <si>
    <t>Name preservation under localisation</t>
  </si>
  <si>
    <t>Read this Hindi passage. The English proper nouns Northgate Financial and Priya Raghunathan must be pronounced correctly and not translated.</t>
  </si>
  <si>
    <t>Hindi text with English proper nouns</t>
  </si>
  <si>
    <t>1) Passage read correctly  2) Proper nouns not translated  3) Each pronounced recognisably  4) Switch into and out of the names is natural</t>
  </si>
  <si>
    <t>Locate proper nouns in the ASR transcript; verify present and unaltered. Native review for pronunciation</t>
  </si>
  <si>
    <t>Numeric formatting per locale</t>
  </si>
  <si>
    <t>Read this Hindi passage containing the amount 2,50,000 using the Indian lakh convention, not the international convention.</t>
  </si>
  <si>
    <t>Hindi text with an amount</t>
  </si>
  <si>
    <t>1) Amount spoken as dhai lakh or equivalent  2) Not rendered as two hundred fifty thousand  3) Rest of the passage correct  4) Natural delivery</t>
  </si>
  <si>
    <t>Native-reviewer verification of convention. ASR numeric extraction cross-check</t>
  </si>
  <si>
    <t>RTL language handling</t>
  </si>
  <si>
    <t>Read the supplied Arabic passage naturally with correct pronunciation and prosody.</t>
  </si>
  <si>
    <t>Arabic source text</t>
  </si>
  <si>
    <t>1) Full passage read  2) Correct pronunciation  3) Prosody follows Arabic patterns  4) No script direction errors</t>
  </si>
  <si>
    <t>Arabic ASR WER &lt;0.12. MANDATORY native-speaker review — do not score without one</t>
  </si>
  <si>
    <t>Tone accuracy</t>
  </si>
  <si>
    <t>Read the supplied Mandarin passage with correct tones throughout.</t>
  </si>
  <si>
    <t>Mandarin source text with tone marks</t>
  </si>
  <si>
    <t>1) Full passage read  2) Tones correct on marked syllables  3) Natural prosody  4) No tone flattening</t>
  </si>
  <si>
    <t>Mandarin ASR WER &lt;0.10. MANDATORY native-speaker tone review — automated scoring is not sufficient</t>
  </si>
  <si>
    <t>Format conventions in speech</t>
  </si>
  <si>
    <t>Read this localised passage speaking the date 14/03/2027 and the amount EUR 1.250,50 using European conventions.</t>
  </si>
  <si>
    <t>Localised source text</t>
  </si>
  <si>
    <t>1) Date spoken in day-month-year order  2) Amount uses comma as decimal separator correctly  3) Currency stated correctly  4) Natural delivery</t>
  </si>
  <si>
    <t>Parse ASR to date and numeric values; verify against ground truth in the target convention</t>
  </si>
  <si>
    <t>Runtime contract</t>
  </si>
  <si>
    <t>What the runtime needs to read from the Scenario bank, and what it must write back. A JSON version of every scenario ships alongside this workbook — the runtime should consume that, not parse the spreadsheet.</t>
  </si>
  <si>
    <t>Fields the runtime consumes</t>
  </si>
  <si>
    <t>id — stable scenario key. Never renumber these; results are keyed on them.</t>
  </si>
  <si>
    <t>prompt — pass verbatim. Do not reword, expand or add a system preamble. The wording is part of the test.</t>
  </si>
  <si>
    <t>input_assets — what must be supplied. 'none' means text-to-output. Anything else must be sourced once and reused across every model, or the comparison is invalid.</t>
  </si>
  <si>
    <t>run_settings — resolution, duration, aspect, audio on/off. Identical across models or you are measuring configuration, not capability.</t>
  </si>
  <si>
    <t>runs_required — 3. Three seeds per scenario per model. Single-run results measure the seed.</t>
  </si>
  <si>
    <t>adherence_clauses — the numbered list. Each is a boolean. This is the gate.</t>
  </si>
  <si>
    <t>automated_checks — the measurable test and its threshold.</t>
  </si>
  <si>
    <t>human_dimensions — rubric codes to route to human raters. Definitions live on the Image, Video and Voice tabs.</t>
  </si>
  <si>
    <t>What the runtime must write back, per run</t>
  </si>
  <si>
    <t>scenario_id, model_id (exact, not a friendly name), seed, timestamp, all request parameters, output file path.</t>
  </si>
  <si>
    <t>clause_results — one boolean per adherence clause, plus the count met.</t>
  </si>
  <si>
    <t>automated_results — the raw measured value AND the pass/fail, not just the verdict. The value is what lets you compare two passing models.</t>
  </si>
  <si>
    <t>latency_ms — for voice, time to first audio and total, per run. Percentiles computed across runs, never averaged.</t>
  </si>
  <si>
    <t>errors — any refusal, timeout, safety block or quota error, captured verbatim. A refusal is a result, not a missing row.</t>
  </si>
  <si>
    <t>Rules the runtime must enforce</t>
  </si>
  <si>
    <t>Same session for compared models. If a model is added later, every incumbent is re-run in the same batch. Scores from different batches must not be placed side by side.</t>
  </si>
  <si>
    <t>Strip identifying metadata from outputs before they reach a human rater. Filenames must not contain the model name.</t>
  </si>
  <si>
    <t>Randomise presentation order per rater.</t>
  </si>
  <si>
    <t>Persist the raw output files. Scores are re-derivable; generations are not, and model versions change without notice.</t>
  </si>
  <si>
    <t>Where a scenario says MANDATORY human review</t>
  </si>
  <si>
    <t>Non-Latin scripts, tonal languages, bias and feature-fidelity checks, and persona reads cannot be scored automatically. The runtime should mark these as blocked-pending-human rather than passing them on an automated proxy.</t>
  </si>
  <si>
    <t>Suggested execution order</t>
  </si>
  <si>
    <t>Start with one family per modality — around 30 scenarios — to shake out the harness before committing to all 170. Localised editing, avatar/dialogue and transactional voice are the best first three: each has strong automated checks and each is where models most visibly differ.</t>
  </si>
  <si>
    <t>Asset sources — what exists, where it is, and whether we may use it</t>
  </si>
  <si>
    <t>130 of the 170 scenarios need an input asset. This maps each need to a real dataset. Licence column is the one to read first: several of the obvious datasets are non-commercial, and our work is commercial.</t>
  </si>
  <si>
    <t>Asset need</t>
  </si>
  <si>
    <t>Scenarios served</t>
  </si>
  <si>
    <t>Best match</t>
  </si>
  <si>
    <t>Fit</t>
  </si>
  <si>
    <t>Licence / commercial use</t>
  </si>
  <si>
    <t>Where to get it</t>
  </si>
  <si>
    <t>What to watch</t>
  </si>
  <si>
    <t>Everyday scenes with many objects — clutter, tabletops, chairs, walls, bowls</t>
  </si>
  <si>
    <t>IMG-LE-01,03,04,06,10</t>
  </si>
  <si>
    <t>GEdit-Bench (StepFun)</t>
  </si>
  <si>
    <t>Exact</t>
  </si>
  <si>
    <t>MIT — commercial use permitted</t>
  </si>
  <si>
    <t>huggingface.co/datasets/stepfun-ai/GEdit-Bench</t>
  </si>
  <si>
    <t>1,212 real-world editing requests with source images. The closest thing to an exact match in the whole list, and the licence is clean. Start here.</t>
  </si>
  <si>
    <t>Editing pairs with ground-truth targets</t>
  </si>
  <si>
    <t>IMG-LE-01 to 10</t>
  </si>
  <si>
    <t>CC BY 4.0 — verify before use</t>
  </si>
  <si>
    <t>huggingface.co/datasets/osunlp/MagicBrush</t>
  </si>
  <si>
    <t>10K manually annotated single and multi-turn edits built on COCO. Ground truth was produced with DALL-E 2, so it is biased toward edits that editor could do.</t>
  </si>
  <si>
    <t>Object removal with clean backgrounds</t>
  </si>
  <si>
    <t>IMG-LE-02,07,09</t>
  </si>
  <si>
    <t>Emu Edit test set / ImgEdit</t>
  </si>
  <si>
    <t>Near</t>
  </si>
  <si>
    <t>Check per-dataset — Meta terms apply to Emu Edit</t>
  </si>
  <si>
    <t>huggingface.co/datasets/facebook/emu_edit_test_set_generations</t>
  </si>
  <si>
    <t>Seven task categories including removal. Use alongside GEdit rather than instead of it.</t>
  </si>
  <si>
    <t>Free stock photos for anything not covered</t>
  </si>
  <si>
    <t>All IMG-LE, IMG-STY</t>
  </si>
  <si>
    <t>Pexels / Unsplash / Pixabay</t>
  </si>
  <si>
    <t>Free for commercial use, no attribution required</t>
  </si>
  <si>
    <t>pexels.com, unsplash.com/data</t>
  </si>
  <si>
    <t>The pragmatic answer for specific needs like 'brick wall with painted text' or 'thin cable across sky'. Unsplash also ships a 25k research subset.</t>
  </si>
  <si>
    <t>Faces and portraits</t>
  </si>
  <si>
    <t>IMG-LE-08, IMG-CHAR-01 to 10</t>
  </si>
  <si>
    <t>SFHQ (Synthetic Faces HQ)</t>
  </si>
  <si>
    <t>CC BY — synthetic, no consent issue</t>
  </si>
  <si>
    <t>huggingface.co/datasets/SFHQ</t>
  </si>
  <si>
    <t>STRONG RECOMMENDATION: use synthetic faces. FFHQ and CelebA-HQ are non-commercial and carry real people. Synthetic sidesteps both the licence and DPDP consent problems entirely.</t>
  </si>
  <si>
    <t>Products with known dimensions and multiple views</t>
  </si>
  <si>
    <t>IMG-BRAND-01,02,05,06,08,09,10; VID-AD-*; VID-I2V-05</t>
  </si>
  <si>
    <t>Google Scanned Objects</t>
  </si>
  <si>
    <t>CC BY 4.0 — commercial use permitted</t>
  </si>
  <si>
    <t>huggingface.co/datasets/gsoresearch or Gazebo Fuel</t>
  </si>
  <si>
    <t>1,030 scanned household objects with 3D meshes. Render your own reference views. Gives exact real-world dimensions for IMG-BRAND-08 and true ground truth for rotation.</t>
  </si>
  <si>
    <t>Product catalogue imagery at scale</t>
  </si>
  <si>
    <t>IMG-BRAND-*</t>
  </si>
  <si>
    <t>Amazon Berkeley Objects (ABO)</t>
  </si>
  <si>
    <t>CC BY-NC 4.0 — NON-COMMERCIAL. Blocks our use</t>
  </si>
  <si>
    <t>registry.opendata.aws/amazon-berkeley-objects</t>
  </si>
  <si>
    <t>148k products, 398k images, 360-degree turntable sequences. Perfect content, wrong licence. Some sub-archives are listed CC BY 4.0 — the main dataset is NC. Do not use without legal sign-off.</t>
  </si>
  <si>
    <t>Logos and brand marks</t>
  </si>
  <si>
    <t>IMG-BRAND-03,04,07,10; IMG-STY-10; VID-AD-05,10; VID-I2V-09</t>
  </si>
  <si>
    <t>None — create a fictional brand kit</t>
  </si>
  <si>
    <t>Must create</t>
  </si>
  <si>
    <t>Ours, so unrestricted</t>
  </si>
  <si>
    <t>internal</t>
  </si>
  <si>
    <t>There is no safe public logo dataset — real logos are trademarks. Making a fictional brand (name, SVG mark, hex palette, type spec) is better anyway: it gives exact ground truth for colour and geometry checks.</t>
  </si>
  <si>
    <t>Handwritten diagrams and sketches</t>
  </si>
  <si>
    <t>Handwritten flowchart / hdBPMN datasets</t>
  </si>
  <si>
    <t>Research licences vary — verify</t>
  </si>
  <si>
    <t>github.com — search handwritten flowchart dataset</t>
  </si>
  <si>
    <t>Or simply photograph five sketches yourselves. Faster than sourcing, and you control the ground-truth label list the check depends on.</t>
  </si>
  <si>
    <t>Web pages and UI screens</t>
  </si>
  <si>
    <t>IMG-UI-04,05,06</t>
  </si>
  <si>
    <t>WebSight (HuggingFace)</t>
  </si>
  <si>
    <t>CC BY 4.0</t>
  </si>
  <si>
    <t>huggingface.co/datasets/HuggingFaceM4/WebSight</t>
  </si>
  <si>
    <t>HTML and rendered-screenshot pairs — exactly what IMG-UI-04 needs. Alternative: write the HTML yourselves and render it, which gives perfect ground truth.</t>
  </si>
  <si>
    <t>Mobile app UI screens</t>
  </si>
  <si>
    <t>IMG-UI-05,06</t>
  </si>
  <si>
    <t>RICO / Enrico</t>
  </si>
  <si>
    <t>Academic use — verify for commercial</t>
  </si>
  <si>
    <t>interactionmining.org/rico</t>
  </si>
  <si>
    <t>72k Android screens. Enrico is a cleaned 1,460-screen subset. Check terms before commercial use.</t>
  </si>
  <si>
    <t>Interiors and landscapes</t>
  </si>
  <si>
    <t>IMG-STY-05; VID-I2V-06</t>
  </si>
  <si>
    <t>Pexels / Unsplash</t>
  </si>
  <si>
    <t>Free for commercial use</t>
  </si>
  <si>
    <t>pexels.com</t>
  </si>
  <si>
    <t>ScanNet and Matterport3D are richer but research-licensed. Stock is sufficient here.</t>
  </si>
  <si>
    <t>Chart and data graphics</t>
  </si>
  <si>
    <t>None needed — we supply the data</t>
  </si>
  <si>
    <t>Ours</t>
  </si>
  <si>
    <t>The scenario supplies the values, which is the point. ChartQA and PlotQA exist if you later want real chart images as input.</t>
  </si>
  <si>
    <t>Source clips for editing scenarios</t>
  </si>
  <si>
    <t>VID-EDIT-01 to 10</t>
  </si>
  <si>
    <t>LOVEU-TGVE-2023</t>
  </si>
  <si>
    <t>All 76 videos Creative Commons, licensed to modify and redistribute</t>
  </si>
  <si>
    <t>sites.google.com/view/loveucvpr23/track4</t>
  </si>
  <si>
    <t>The single best video find. 76 clips at 480x480, each already carrying four edit prompts across style, background, object and multi-edit. Built from DAVIS, Videvo and YouTube with licences that permit redistribution.</t>
  </si>
  <si>
    <t>Editing tasks beyond the original four</t>
  </si>
  <si>
    <t>VID-EDIT-02,05</t>
  </si>
  <si>
    <t>TGVE+ (from EVE)</t>
  </si>
  <si>
    <t>Inherits TGVE licensing</t>
  </si>
  <si>
    <t>See EVE paper / arxiv.org/abs/2503.17641</t>
  </si>
  <si>
    <t>Adds object removal, object addition and texture alteration — which is precisely what VID-EDIT-02 and VID-EDIT-05 test.</t>
  </si>
  <si>
    <t>Object-centric clips with masks</t>
  </si>
  <si>
    <t>VID-EDIT-01,02,03</t>
  </si>
  <si>
    <t>DAVIS 2017</t>
  </si>
  <si>
    <t>Research use — verify for commercial</t>
  </si>
  <si>
    <t>davischallenge.org</t>
  </si>
  <si>
    <t>The de-facto standard source for video editing work, with pixel-accurate masks that make the preservation checks easy. Confirm the licence terms for commercial benchmarking first.</t>
  </si>
  <si>
    <t>Video-to-video evaluation reference</t>
  </si>
  <si>
    <t>VID-EDIT-*</t>
  </si>
  <si>
    <t>V2V-Bench</t>
  </si>
  <si>
    <t>Check repo terms</t>
  </si>
  <si>
    <t>arxiv.org/abs/2606.05665</t>
  </si>
  <si>
    <t>Directly relevant: it already benchmarks Veo 3.1 against Grok Imagine and Open Sora 2 across 11 dimensions, and publishes inter-human agreement.</t>
  </si>
  <si>
    <t>Non-rigid and material deformation</t>
  </si>
  <si>
    <t>VID-PHY-02,03</t>
  </si>
  <si>
    <t>NRVBench</t>
  </si>
  <si>
    <t>Verify — recent release</t>
  </si>
  <si>
    <t>arxiv.org/abs/2601.18340</t>
  </si>
  <si>
    <t>180 videos across six physics-grounded categories, from DAVIS and Pexels, with pixel-accurate masks.</t>
  </si>
  <si>
    <t>Physics ground truth</t>
  </si>
  <si>
    <t>VID-PHY-01 to 10</t>
  </si>
  <si>
    <t>Physics-IQ / VideoPhy / PhyGenBench</t>
  </si>
  <si>
    <t>Verify per dataset</t>
  </si>
  <si>
    <t>github.com — Physics-IQ (Google DeepMind)</t>
  </si>
  <si>
    <t>Physics-IQ is real-world physics scenarios filmed for exactly this purpose. VideoPhy and PhyGenBench score physical commonsense in generated video.</t>
  </si>
  <si>
    <t>Free stock clips for specific needs</t>
  </si>
  <si>
    <t>VID-EDIT-01,05,09; VID-CIN-*</t>
  </si>
  <si>
    <t>Pexels Video / Videvo / Coverr / Pixabay</t>
  </si>
  <si>
    <t>pexels.com/videos</t>
  </si>
  <si>
    <t>Where you need something specific — a red umbrella, a static bicycle, on-screen text — stock is faster than hunting a dataset.</t>
  </si>
  <si>
    <t>Camera trajectory ground truth</t>
  </si>
  <si>
    <t>VID-CIN-01,04,05; VID-EDIT-07</t>
  </si>
  <si>
    <t>RealEstate10K</t>
  </si>
  <si>
    <t>Google terms — verify</t>
  </si>
  <si>
    <t>google.github.io/realestate10k</t>
  </si>
  <si>
    <t>Clips with known camera poses, which turns V7 camera-control scoring from a judgement into a measurement.</t>
  </si>
  <si>
    <t>Image-to-video reference images</t>
  </si>
  <si>
    <t>VID-I2V-01 to 10</t>
  </si>
  <si>
    <t>VBench-I2V image suite / TIP-I2V</t>
  </si>
  <si>
    <t>github.com/Vchitect/VBench</t>
  </si>
  <si>
    <t>VBench-I2V ships a curated image suite designed for this. TIP-I2V adds real user prompt-image pairs.</t>
  </si>
  <si>
    <t>Talking-head and presenter references</t>
  </si>
  <si>
    <t>VID-AVA-01 to 10</t>
  </si>
  <si>
    <t>HDTF / CelebV-HQ / TalkingHead-1KH</t>
  </si>
  <si>
    <t>Research use only. LRS2/LRS3 are BBC-licensed and NOT usable</t>
  </si>
  <si>
    <t>github.com — HDTF</t>
  </si>
  <si>
    <t>AVOID LRS2/LRS3 — BBC terms exclude commercial use. Safer path: synthetic presenter references, or licensed stock footage of presenters.</t>
  </si>
  <si>
    <t>Narration and long-form reading text</t>
  </si>
  <si>
    <t>VOI-NAR-01,02,04,06,07,09</t>
  </si>
  <si>
    <t>Project Gutenberg</t>
  </si>
  <si>
    <t>Public domain</t>
  </si>
  <si>
    <t>gutenberg.org</t>
  </si>
  <si>
    <t>Free, unrestricted, and the same source LibriTTS uses. For the poem, stay pre-1929 — modern poetry is still in copyright.</t>
  </si>
  <si>
    <t>Clinical and technical vocabulary</t>
  </si>
  <si>
    <t>MedlinePlus / open medical glossaries</t>
  </si>
  <si>
    <t>Public domain (US government)</t>
  </si>
  <si>
    <t>medlineplus.gov</t>
  </si>
  <si>
    <t>Pull ten terms with an agreed pronunciation reference so the per-term check has ground truth.</t>
  </si>
  <si>
    <t>Numbers, dates, currency, text normalisation</t>
  </si>
  <si>
    <t>VOI-NAR-10; VOI-TEL-01 to 10</t>
  </si>
  <si>
    <t>Google Text Normalisation Challenge dataset</t>
  </si>
  <si>
    <t>Open — verify</t>
  </si>
  <si>
    <t>github.com/rwsproat/text-normalization-data</t>
  </si>
  <si>
    <t>Purpose-built for exactly the failure mode VOI-TEL tests. Gives you written-to-spoken pairs as ground truth rather than you inventing them.</t>
  </si>
  <si>
    <t>Reference voices for similarity and consistency</t>
  </si>
  <si>
    <t>VOI-NAR-08; VOI-AD-02,08</t>
  </si>
  <si>
    <t>LibriTTS-R</t>
  </si>
  <si>
    <t>openslr.org/141</t>
  </si>
  <si>
    <t>585 hours, 2,456 speakers, 24kHz, restored audio. The clean default for speaker-similarity work.</t>
  </si>
  <si>
    <t>Accented and diverse English</t>
  </si>
  <si>
    <t>VCTK / GLOBE / Common Voice</t>
  </si>
  <si>
    <t>VCTK CC BY 4.0; GLOBE and Common Voice CC-0</t>
  </si>
  <si>
    <t>openslr.org/60, commonvoice.mozilla.org</t>
  </si>
  <si>
    <t>GLOBE has 164 accents with age and gender labels, CC-0. Common Voice is CC-0 and enormous.</t>
  </si>
  <si>
    <t>Multilingual reference speech</t>
  </si>
  <si>
    <t>VOI-ML-01,04,05,08,09</t>
  </si>
  <si>
    <t>FLEURS</t>
  </si>
  <si>
    <t>huggingface.co/datasets/google/fleurs</t>
  </si>
  <si>
    <t>102 languages, parallel sentences, purpose-built for multilingual speech evaluation. Covers Hindi, Spanish, Arabic and Mandarin in one place.</t>
  </si>
  <si>
    <t>Indian language speech and text</t>
  </si>
  <si>
    <t>VOI-ML-01,03,07; VID-AVA-04</t>
  </si>
  <si>
    <t>Open-sourced — verify exact licence</t>
  </si>
  <si>
    <t>huggingface.co/datasets/ai4bharat/indicvoices_r</t>
  </si>
  <si>
    <t>All 22 official Indian languages, 9-175 hours each, TTS-quality, with a zero/few/many-shot speaker benchmark. IndicTTS from IIT Madras is the other option.</t>
  </si>
  <si>
    <t>Expressive and emotional speech references</t>
  </si>
  <si>
    <t>VOI-AD-01 to 07</t>
  </si>
  <si>
    <t>Expresso</t>
  </si>
  <si>
    <t>CC BY-NC — NON-COMMERCIAL. Verify before use</t>
  </si>
  <si>
    <t>github.com/facebookresearch/textlesslib</t>
  </si>
  <si>
    <t>47 hours, 4 speakers, 26 styles — ideal content, restrictive licence. CREMA-D is a more permissive alternative; RAVDESS is CC BY-NC-SA and has the same problem.</t>
  </si>
  <si>
    <t>Background noise beds</t>
  </si>
  <si>
    <t>VOI-RT-03,10; VOI-TEL-10</t>
  </si>
  <si>
    <t>MUSAN</t>
  </si>
  <si>
    <t>openslr.org/17</t>
  </si>
  <si>
    <t>Music, speech and noise. DNS Challenge noise sets and FSD50K are the alternatives. For telephony, do not source a dataset — simulate G.711 with ffmpeg.</t>
  </si>
  <si>
    <t>Task-oriented dialogue scripts</t>
  </si>
  <si>
    <t>VOI-RT-01 to 10</t>
  </si>
  <si>
    <t>SpokenWOZ / MultiWOZ / Schema-Guided Dialogue</t>
  </si>
  <si>
    <t>Verify per dataset — mostly permissive</t>
  </si>
  <si>
    <t>huggingface.co/datasets/multi_woz_v22</t>
  </si>
  <si>
    <t>SpokenWOZ is the closest fit because it is spoken rather than written task-oriented dialogue, which is what a voice agent actually faces.</t>
  </si>
  <si>
    <t>Code-switched speech</t>
  </si>
  <si>
    <t>LinCE / MUCS 2021</t>
  </si>
  <si>
    <t>Research use — verify</t>
  </si>
  <si>
    <t>ritual.uh.edu/lince</t>
  </si>
  <si>
    <t>Genuinely scarce for Hindi-English. IndicVoices-R contains natural code-switching since 93% is extempore speech — likely your better route.</t>
  </si>
  <si>
    <t>Agent tools and mock services</t>
  </si>
  <si>
    <t>VOI-RT-01,04,08</t>
  </si>
  <si>
    <t>None — build mocks</t>
  </si>
  <si>
    <t>The order-lookup, booking and handoff tools must be deterministic mocks so tool-call correctness is checkable. Do not point these at a live system.</t>
  </si>
  <si>
    <t>How to read this</t>
  </si>
  <si>
    <t>Green in the Fit column means a dataset exists that matches the need directly. Amber means the nearest available option needs adapting. Red means no dataset exists and we build it — which for logos and mock tools is the right answer anyway.</t>
  </si>
  <si>
    <t>Green in the Licence column means commercial use is permitted. Amber means verify before use. Red means the licence blocks us.</t>
  </si>
  <si>
    <t>Four things worth deciding before anyone downloads anything</t>
  </si>
  <si>
    <t>1. Non-commercial licences are a real blocker, not a formality. Amazon Berkeley Objects, Expresso, FFHQ and RAVDESS all carry CC BY-NC. Our work is employer-sponsored competitive research, which is commercial — the same classification that rules us out of Reddit's free API tier. Google Scanned Objects, LibriTTS-R, FLEURS, MUSAN and GEdit-Bench are the clean equivalents.</t>
  </si>
  <si>
    <t>2. Use synthetic faces, not real ones. Every character and portrait scenario can run on synthetic faces. That removes the consent question under India's DPDP Act and the licence question in one move, at no cost to the test.</t>
  </si>
  <si>
    <t>3. Build the brand kit rather than sourcing logos. A fictional brand with an SVG mark and a fixed hex palette gives exact ground truth for the colour and geometry checks, and avoids trademark exposure. This is the one place where creating beats finding.</t>
  </si>
  <si>
    <t>4. Freeze the assets before the first run. Whatever we use must be identical across every model, stored once, and version-locked. Swapping a reference image midway invalidates every comparison made before it.</t>
  </si>
  <si>
    <t>Where the gaps genuinely are</t>
  </si>
  <si>
    <t>Hindi-English code-switched speech is scarce. IndicVoices-R is probably the answer because most of it is extempore rather than read, but it is not a purpose-built code-switching corpus.</t>
  </si>
  <si>
    <t>Talking-head references are all research-licensed or BBC-restricted. Synthetic presenters or licensed stock are the workable routes.</t>
  </si>
  <si>
    <t>Long-form voice stability has no dataset because it has no benchmark — you generate the long passage yourself from public-domain text.</t>
  </si>
  <si>
    <t>Pinned assets — exact locators, not dataset names</t>
  </si>
  <si>
    <t>A dataset name still leaves a human choosing files, and two people choose differently — which silently breaks the comparison. Each row below is an address that resolves to specific files. resolve_assets.py materialises them and writes a checksummed manifest.</t>
  </si>
  <si>
    <t>Source</t>
  </si>
  <si>
    <t>Locator format — this is the exact address</t>
  </si>
  <si>
    <t>Pinned by</t>
  </si>
  <si>
    <t>Scenarios</t>
  </si>
  <si>
    <t>Confidence</t>
  </si>
  <si>
    <t>Run this</t>
  </si>
  <si>
    <t>GEdit-Bench</t>
  </si>
  <si>
    <t>hf://stepfun-ai/GEdit-Bench@train#row=&lt;n&gt;</t>
  </si>
  <si>
    <t>Row index after deterministic keyword filter, so the same row is chosen every run</t>
  </si>
  <si>
    <t>IMG-LE-01, 03, 04, 06, 10</t>
  </si>
  <si>
    <t>Exact once resolved</t>
  </si>
  <si>
    <t>--groups gedit</t>
  </si>
  <si>
    <t>davis://DAVIS-2017-trainval-480p/JPEGImages/480p/&lt;sequence&gt;</t>
  </si>
  <si>
    <t>Named sequences: bmx-trees, dance-twirl, car-shadow, blackswan, camel, libby, goat</t>
  </si>
  <si>
    <t>VID-EDIT-02, 03, 04, 06, 07, 08, 10</t>
  </si>
  <si>
    <t>Exact — names are stable</t>
  </si>
  <si>
    <t>--groups davis</t>
  </si>
  <si>
    <t>hf://google/fleurs@&lt;lang&gt;/test#row=&lt;n&gt;</t>
  </si>
  <si>
    <t>Language configs hi_in, es_419, ar_eg, cmn_hans_cn; first three test rows; transcript saved as ground truth</t>
  </si>
  <si>
    <t>VOI-ML-01, 05, 08, 09</t>
  </si>
  <si>
    <t>Exact — config codes stable</t>
  </si>
  <si>
    <t>--groups fleurs</t>
  </si>
  <si>
    <t>gutenberg://&lt;book_id&gt;#chars=&lt;a&gt;-&lt;b&gt;</t>
  </si>
  <si>
    <t>Book IDs 11, 1342, 1661, 84, 2701 with fixed character offsets, so the passage is byte-identical every run</t>
  </si>
  <si>
    <t>VOI-NAR-01, 02, 04, 07, 09</t>
  </si>
  <si>
    <t>Exact — IDs are permanent</t>
  </si>
  <si>
    <t>--groups gutenberg</t>
  </si>
  <si>
    <t>openslr://17/musan/noise/free-sound/&lt;file&gt;.wav</t>
  </si>
  <si>
    <t>First five free-sound noise clips in listing order</t>
  </si>
  <si>
    <t>VOI-RT-03, 10; VOI-TEL-10</t>
  </si>
  <si>
    <t>--groups musan</t>
  </si>
  <si>
    <t>Pexels</t>
  </si>
  <si>
    <t>pexels://photo/&lt;id&gt;</t>
  </si>
  <si>
    <t>Fixed query string, landscape, result #1. The returned photo ID is written into the manifest and reused thereafter</t>
  </si>
  <si>
    <t>IMG-LE-05, 07; IMG-STY-01, 05; VID-I2V-06; VID-CIN-10</t>
  </si>
  <si>
    <t>Pinned on first run</t>
  </si>
  <si>
    <t>--groups pexels</t>
  </si>
  <si>
    <t>fuel://GoogleResearch/models/&lt;object_name&gt;</t>
  </si>
  <si>
    <t>Object name plus a fixed render recipe — camera elevation, azimuth, lighting — so reference views are reproducible</t>
  </si>
  <si>
    <t>IMG-BRAND-*, IMG-TXT-09, VID-AD-*, VID-I2V-05</t>
  </si>
  <si>
    <t>Needs a render step — not yet in the script</t>
  </si>
  <si>
    <t>add group</t>
  </si>
  <si>
    <t>tgve://&lt;video_name&gt;</t>
  </si>
  <si>
    <t>76 CC-licensed clips, each with four edit prompts already attached</t>
  </si>
  <si>
    <t>VID-EDIT-01, 05, 09</t>
  </si>
  <si>
    <t>Licence-clean alternative to DAVIS</t>
  </si>
  <si>
    <t>hf://SFHQ#row=&lt;n&gt;</t>
  </si>
  <si>
    <t>Row indices, fixed. Synthetic, so no consent or likeness issue</t>
  </si>
  <si>
    <t>IMG-CHAR-*, IMG-LE-08, IMG-STY-08, VID-I2V-04, 07</t>
  </si>
  <si>
    <t>Text normalisation set</t>
  </si>
  <si>
    <t>github://rwsproat/text-normalization-data#line=&lt;n&gt;</t>
  </si>
  <si>
    <t>Written-to-spoken pairs give ground truth for digits, currency and dates without inventing them</t>
  </si>
  <si>
    <t>VOI-NAR-10, VOI-TEL-01 to 09</t>
  </si>
  <si>
    <t>Internal brand kit</t>
  </si>
  <si>
    <t>repo://assets/brand/&lt;file&gt;</t>
  </si>
  <si>
    <t>Fictional brand: SVG mark, hex palette, type spec, pronunciation guide. Version-controlled with the scenarios</t>
  </si>
  <si>
    <t>10 scenarios across all three modalities</t>
  </si>
  <si>
    <t>We create it</t>
  </si>
  <si>
    <t>build once</t>
  </si>
  <si>
    <t>Two things to know before running it</t>
  </si>
  <si>
    <t>1. I have not executed this script. My environment cannot reach huggingface.co, openslr.org or gutenberg.org. It compiles and dry-runs cleanly, and every group is wrapped so one failure does not stop the rest — but the first real run will need a pass to fix whatever the live schemas actually look like.</t>
  </si>
  <si>
    <t>2. I have not invented individual asset IDs. Specific Pexels photo IDs and Google Scanned Object names cannot be verified without fetching them, and a made-up ID is a 404 that wastes your teammate's morning. So the script resolves them by fixed rule on first run and writes the resulting ID into the manifest. After that first run, the manifest is the pin — everyone downstream fetches by ID, not by search.</t>
  </si>
  <si>
    <t>What the manifest gives you that a dataset name does not</t>
  </si>
  <si>
    <t>Every entry records the scenario it serves, the exact locator, the licence, the SHA256 and the byte count. That means a second person can verify they are testing the same thing you tested, and a sceptical reader can check that the asset did not change between two model runs. Given your evidence standard excludes leaderboard pages and vendor blogs, this is the same discipline applied to inputs rather than sources.</t>
  </si>
  <si>
    <t>The 40 scenarios needing no asset — use the benchmarks' own prompts</t>
  </si>
  <si>
    <t>GenEval, T2I-CompBench, VBench-2.0, T2V-CompBench and EmergentTTS-Eval all ship fixed prompt suites, and your Tier-2 scorers expect them. Running their prompts makes your numbers comparable to published results. Running ours makes them comparable only to ourselves. For those 40, prefer the benchmark's prompt list and keep our scenario as the rubric wrapper around it.</t>
  </si>
  <si>
    <t>Image — scoring dimensions</t>
  </si>
  <si>
    <t>Ten dimensions. I1 and I10 are gates. Blue cells have an objective measure — use it rather than eyeballing.</t>
  </si>
  <si>
    <t>Code</t>
  </si>
  <si>
    <t>Dimension</t>
  </si>
  <si>
    <t>Standard / benchmark name</t>
  </si>
  <si>
    <t>Where that term comes from</t>
  </si>
  <si>
    <t>What you are judging</t>
  </si>
  <si>
    <t>Score 2 looks like</t>
  </si>
  <si>
    <t>Score 4 looks like</t>
  </si>
  <si>
    <t>Objective check (use if available)</t>
  </si>
  <si>
    <t>When to score it</t>
  </si>
  <si>
    <t>I1</t>
  </si>
  <si>
    <t>Instruction adherence</t>
  </si>
  <si>
    <t>Semantic Consistency (SC) / Instruction Adherence</t>
  </si>
  <si>
    <t>VIEScore; ImgEdit-Bench. GenEval and DPG-Bench measure the same thing for generation.</t>
  </si>
  <si>
    <t>Did it do what was asked — every clause of it, not just the easy one. Check each instruction separately and score the weakest.</t>
  </si>
  <si>
    <t>One clause of a two-clause instruction was followed; the other was ignored or inverted.</t>
  </si>
  <si>
    <t>Every clause satisfied. A pedantic reader could not find an unmet requirement.</t>
  </si>
  <si>
    <t>Break the prompt into checkable clauses and mark each pass/fail. Score = proportion met, mapped to 1-5.</t>
  </si>
  <si>
    <t>GATE — always. Caps every other dimension.</t>
  </si>
  <si>
    <t>I2</t>
  </si>
  <si>
    <t>Perceptual quality</t>
  </si>
  <si>
    <t>Perceptual Quality (PQ) / Imaging Quality</t>
  </si>
  <si>
    <t>VIEScore; VBench uses 'Imaging Quality' for the equivalent per-frame measure.</t>
  </si>
  <si>
    <t>Realism and freedom from artifacts. Warped hands, melted edges, impossible shadows, compression mush, uncanny faces.</t>
  </si>
  <si>
    <t>An obvious artifact you notice within two seconds of looking.</t>
  </si>
  <si>
    <t>Clean at 100% zoom. Any flaw needs hunting for.</t>
  </si>
  <si>
    <t>Always.</t>
  </si>
  <si>
    <t>I3</t>
  </si>
  <si>
    <t>Preservation / collateral damage</t>
  </si>
  <si>
    <t>Detail Preservation</t>
  </si>
  <si>
    <t>ImgEdit-Bench. Measured in the literature via CLIP-I, DINO similarity and L1 distance (Emu Edit, MagicBrush).</t>
  </si>
  <si>
    <t>For any edit: what changed that should NOT have. Background shifted, colours moved, unrelated objects re-rendered, crop drifted.</t>
  </si>
  <si>
    <t>The scene was visibly reconstructed around the edit rather than the edit being applied to the scene.</t>
  </si>
  <si>
    <t>Everything outside the edit region is pixel-stable or near enough.</t>
  </si>
  <si>
    <t>Difference map between input and output. Measure the proportion of changed pixels outside the intended edit region.</t>
  </si>
  <si>
    <t>Any editing use case. This is the dimension the strongest public evidence turns on.</t>
  </si>
  <si>
    <t>I4</t>
  </si>
  <si>
    <t>Text rendering</t>
  </si>
  <si>
    <t>Text Rendering Accuracy / OCR Accuracy</t>
  </si>
  <si>
    <t>TextDiffuser and AnyText benchmarks. Reported as OCR accuracy or character error rate.</t>
  </si>
  <si>
    <t>Spelling, character shapes, spacing, and whether the text is legible at intended output size.</t>
  </si>
  <si>
    <t>Text is present but misspelled, or breaks down at small sizes.</t>
  </si>
  <si>
    <t>Every character correct, correctly kerned, legible at final size. Non-Latin scripts included.</t>
  </si>
  <si>
    <t>OCR the output, diff against intended string. Report character error rate. Anything above 0 needs a human look.</t>
  </si>
  <si>
    <t>Typography, infographics, UI mockups, packaging, any brand work.</t>
  </si>
  <si>
    <t>I5</t>
  </si>
  <si>
    <t>Identity consistency</t>
  </si>
  <si>
    <t>Subject Consistency / Identity Preservation</t>
  </si>
  <si>
    <t>VBench uses 'Subject Consistency'. DreamBench uses identity preservation via face or DINO embedding cosine.</t>
  </si>
  <si>
    <t>Whether a person, character or product stays recognisably the same across outputs or edits.</t>
  </si>
  <si>
    <t>Recognisably a different person or object between generations.</t>
  </si>
  <si>
    <t>A colleague could not tell the outputs came from separate generations.</t>
  </si>
  <si>
    <t>Face or object embedding cosine similarity against the reference. Report the distribution, not just the mean.</t>
  </si>
  <si>
    <t>Character work, avatars, campaigns, anything with a repeat subject.</t>
  </si>
  <si>
    <t>I6</t>
  </si>
  <si>
    <t>Spatial reasoning</t>
  </si>
  <si>
    <t>Spatial Relationship / Position</t>
  </si>
  <si>
    <t>VBench 'Spatial Relationship'; GenEval 'Position'; T2I-CompBench 'Object Relationships'.</t>
  </si>
  <si>
    <t>Relationships between objects — on / behind / left of / inside — and whether rearrangements are real rather than faked by recolouring.</t>
  </si>
  <si>
    <t>The relationship is wrong, or the model repainted objects instead of moving them.</t>
  </si>
  <si>
    <t>Every stated spatial relationship holds and object identity survives the move.</t>
  </si>
  <si>
    <t>Structured VQA: ask a vision model a closed question per relationship and count correct answers.</t>
  </si>
  <si>
    <t>Composition, layout, product placement, scene assembly.</t>
  </si>
  <si>
    <t>I7</t>
  </si>
  <si>
    <t>Reference &amp; brand fidelity</t>
  </si>
  <si>
    <t>(no canonical term) — closest is Attribute Binding: Colour</t>
  </si>
  <si>
    <t>T2I-CompBench covers colour attribute binding, but brand-exact fidelity is not a published benchmark dimension.</t>
  </si>
  <si>
    <t>Whether a supplied product, logo or colour survives intact — proportions, mark details, exact brand colour.</t>
  </si>
  <si>
    <t>Logo is approximated. Brand colour is close but wrong.</t>
  </si>
  <si>
    <t>Mark is exact. Colour matches within tolerance. Proportions unaltered.</t>
  </si>
  <si>
    <t>Sample the hex value and compare to the brand spec. Overlay the mark at opacity to check geometry.</t>
  </si>
  <si>
    <t>Product photography, advertising, packaging, anything client-facing.</t>
  </si>
  <si>
    <t>I8</t>
  </si>
  <si>
    <t>Style control</t>
  </si>
  <si>
    <t>Appearance Style</t>
  </si>
  <si>
    <t>VBench 'Appearance Style'. Style similarity is also reported via CLIP or Gram-matrix distance.</t>
  </si>
  <si>
    <t>Whether the requested aesthetic was applied, and applied consistently across a set.</t>
  </si>
  <si>
    <t>Style is roughly gestured at, or applied to some elements and not others.</t>
  </si>
  <si>
    <t>Style reads as deliberate and holds across every element and every output in the set.</t>
  </si>
  <si>
    <t>Style transfer, campaign sets, brand-guideline work.</t>
  </si>
  <si>
    <t>I9</t>
  </si>
  <si>
    <t>Composition &amp; layout</t>
  </si>
  <si>
    <t>Aesthetic Quality</t>
  </si>
  <si>
    <t>VBench 'Aesthetic Quality'. Layout-constraint compliance has no standard term.</t>
  </si>
  <si>
    <t>Framing, balance, focal hierarchy, and whether space was left where the brief needs it — copy space, safe areas, crop ratios.</t>
  </si>
  <si>
    <t>Subject is badly placed or required copy space is filled.</t>
  </si>
  <si>
    <t>Composition is deliberate and the layout constraints in the brief are respected.</t>
  </si>
  <si>
    <t>Advertising, social formats, thumbnails, slides.</t>
  </si>
  <si>
    <t>I10</t>
  </si>
  <si>
    <t>Safety &amp; rights</t>
  </si>
  <si>
    <t>Safety / Toxicity / Bias</t>
  </si>
  <si>
    <t>HEIM (Holistic Evaluation of Text-to-Image Models) scores safety, toxicity, bias and fairness as named dimensions.</t>
  </si>
  <si>
    <t>Watermarks, recognisable third-party IP, real people's likenesses, and anything that would fail a legal review.</t>
  </si>
  <si>
    <t>Contains something a legal reviewer would query.</t>
  </si>
  <si>
    <t>Clean. Provenance metadata present where required.</t>
  </si>
  <si>
    <t>Check for C2PA / SynthID provenance markers. Reverse image search on anything suspicious.</t>
  </si>
  <si>
    <t>GATE — always. A failure here rejects the output regardless of score.</t>
  </si>
  <si>
    <t>Score I1 first. If it lands at 2 or below, cap everything else at that number before you go further. Not every dimension applies to every use case — the Use case profiles tab tells you which to score.</t>
  </si>
  <si>
    <t>Video — scoring dimensions</t>
  </si>
  <si>
    <t>Fourteen dimensions. V1 and V14 are gates. Video needs more dimensions than image because a clip can fail in time as well as in space.</t>
  </si>
  <si>
    <t>V1</t>
  </si>
  <si>
    <t>Prompt adherence</t>
  </si>
  <si>
    <t>Overall Consistency / Prompt Adherence</t>
  </si>
  <si>
    <t>VBench 'Overall Consistency' covers text-video alignment; T2V-CompBench covers compositional adherence.</t>
  </si>
  <si>
    <t>Every element of the brief present and correct — subject, action, setting, mood, duration, aspect ratio.</t>
  </si>
  <si>
    <t>The main subject or action is right but the setting, mood or framing was ignored.</t>
  </si>
  <si>
    <t>Every element present. Nothing invented that was not asked for.</t>
  </si>
  <si>
    <t>Clause-by-clause pass/fail as with images.</t>
  </si>
  <si>
    <t>V2</t>
  </si>
  <si>
    <t>Visual fidelity</t>
  </si>
  <si>
    <t>Imaging Quality + Aesthetic Quality</t>
  </si>
  <si>
    <t>VBench treats these as two separate named dimensions.</t>
  </si>
  <si>
    <t>Per-frame quality — sharpness, lighting, texture, absence of artifacts. Judge stills pulled from the clip.</t>
  </si>
  <si>
    <t>Noticeable artifacts or soft, mushy detail in normal viewing.</t>
  </si>
  <si>
    <t>Individual frames would pass as a still photograph or a rendered plate.</t>
  </si>
  <si>
    <t>V3</t>
  </si>
  <si>
    <t>Temporal consistency</t>
  </si>
  <si>
    <t>Temporal Flickering + Background Consistency</t>
  </si>
  <si>
    <t>Both are named VBench dimensions.</t>
  </si>
  <si>
    <t>Whether things stay themselves across frames. Flicker, texture crawl, faces morphing, objects changing size or count.</t>
  </si>
  <si>
    <t>Visible drift or flicker within the clip.</t>
  </si>
  <si>
    <t>Nothing changes that should not. Stable on a frame-by-frame scrub.</t>
  </si>
  <si>
    <t>Frame-to-frame feature similarity across the clip. Sharp drops mark the failure point.</t>
  </si>
  <si>
    <t>Always, for any clip over two seconds.</t>
  </si>
  <si>
    <t>V4</t>
  </si>
  <si>
    <t>Motion coherence</t>
  </si>
  <si>
    <t>Motion Smoothness + Dynamic Degree</t>
  </si>
  <si>
    <t>Both named VBench dimensions. Dynamic Degree exists to stop static clips scoring well on smoothness.</t>
  </si>
  <si>
    <t>Whether movement is plausible and continuous — gait, weight, momentum, limb count, contact with surfaces.</t>
  </si>
  <si>
    <t>Motion is smooth but wrong — sliding feet, a limb passing through an object, weightless movement.</t>
  </si>
  <si>
    <t>Motion reads as filmed rather than generated.</t>
  </si>
  <si>
    <t>V5</t>
  </si>
  <si>
    <t>Physics &amp; interaction</t>
  </si>
  <si>
    <t>Physics + Commonsense</t>
  </si>
  <si>
    <t>VBench-2.0 named dimensions. VideoPhy and PhyGenBench are the dedicated physics benchmarks.</t>
  </si>
  <si>
    <t>Whether the world behaves. Gravity, collision, fluid, cloth, fire, breakage, object permanence.</t>
  </si>
  <si>
    <t>An object passes through another, or something falls wrongly, or an item vanishes mid-shot.</t>
  </si>
  <si>
    <t>No physical event in the clip contradicts how the world works.</t>
  </si>
  <si>
    <t>Structured VQA per physical event. This is the core of VBench-2.0's intrinsic-faithfulness dimensions.</t>
  </si>
  <si>
    <t>Any clip with interaction, contact or a moving object. Skip for static talking-head work.</t>
  </si>
  <si>
    <t>V6</t>
  </si>
  <si>
    <t>Subject consistency</t>
  </si>
  <si>
    <t>Subject Consistency</t>
  </si>
  <si>
    <t>VBench named dimension.</t>
  </si>
  <si>
    <t>Whether a character or product remains the same across shots and across the length of the clip.</t>
  </si>
  <si>
    <t>Face or wardrobe visibly changes between shots.</t>
  </si>
  <si>
    <t>Same subject throughout. Wardrobe, hair, markings all hold.</t>
  </si>
  <si>
    <t>Face or object embedding similarity between first, middle and last frames, and across shots.</t>
  </si>
  <si>
    <t>Character work, multi-shot sequences, campaigns.</t>
  </si>
  <si>
    <t>V7</t>
  </si>
  <si>
    <t>Camera control</t>
  </si>
  <si>
    <t>Camera Motion Control / Controllability</t>
  </si>
  <si>
    <t>VBench-I2V 'Camera Motion Control'; VBench-2.0 folds this under 'Controllability'.</t>
  </si>
  <si>
    <t>Whether the requested camera move happened — the right move, the right speed, the right direction.</t>
  </si>
  <si>
    <t>A camera move happens but it is the wrong one, or drifts.</t>
  </si>
  <si>
    <t>Exactly the requested move, at a plausible speed, with no unrequested drift.</t>
  </si>
  <si>
    <t>Optical-flow direction and magnitude against the requested move.</t>
  </si>
  <si>
    <t>Any brief that names a camera move.</t>
  </si>
  <si>
    <t>V8</t>
  </si>
  <si>
    <t>Native audio quality</t>
  </si>
  <si>
    <t>Audio Quality / Audio-Visual Alignment</t>
  </si>
  <si>
    <t>Emerging area. Movie Gen Bench reports audio quality and A/V alignment separately.</t>
  </si>
  <si>
    <t>Generated audio on its own terms — dialogue clarity, ambience plausibility, absence of artifacts, sensible mix.</t>
  </si>
  <si>
    <t>Audio is present but muddy, artifacted or tonally wrong for the scene.</t>
  </si>
  <si>
    <t>Would pass in a rough cut without replacement.</t>
  </si>
  <si>
    <t>Any use case relying on generated audio.</t>
  </si>
  <si>
    <t>V9</t>
  </si>
  <si>
    <t>Lip-sync &amp; dialogue</t>
  </si>
  <si>
    <t>LSE-C / LSE-D (Lip Sync Error - Confidence / Distance)</t>
  </si>
  <si>
    <t>SyncNet-derived metrics, the standard in lip-sync literature (Wav2Lip onward). AV offset in ms is the plain-language equivalent.</t>
  </si>
  <si>
    <t>Whether mouth movement matches the audio, and whether the dialogue is the dialogue that was asked for.</t>
  </si>
  <si>
    <t>Sync is visibly off, or drifts over the clip.</t>
  </si>
  <si>
    <t>Sync holds throughout. No drift by the end.</t>
  </si>
  <si>
    <t>Measure audio-to-visual offset in milliseconds at start, middle and end. Report drift, not just the opening offset.</t>
  </si>
  <si>
    <t>Avatars, presenters, any speaking character.</t>
  </si>
  <si>
    <t>V10</t>
  </si>
  <si>
    <t>Reference fidelity</t>
  </si>
  <si>
    <t>I2V Subject / Background Consistency</t>
  </si>
  <si>
    <t>VBench-I2V named dimensions for how faithfully a source image is honoured.</t>
  </si>
  <si>
    <t>How faithfully supplied inputs are honoured — first frame, last frame, reference images, style plates.</t>
  </si>
  <si>
    <t>The reference is loosely echoed rather than used.</t>
  </si>
  <si>
    <t>The supplied frame appears as given, and the clip resolves to the specified end state.</t>
  </si>
  <si>
    <t>Pixel or embedding similarity between the supplied frame and the corresponding generated frame.</t>
  </si>
  <si>
    <t>First/last-frame work, ingredients-to-video, brand asset work.</t>
  </si>
  <si>
    <t>V11</t>
  </si>
  <si>
    <t>Editing precision</t>
  </si>
  <si>
    <t>(no single canonical term) — treated as Editing Precision</t>
  </si>
  <si>
    <t>V2V-Bench and video-VIEScore adaptations measure it as semantic consistency plus unedited-region preservation.</t>
  </si>
  <si>
    <t>For conversational or targeted edits: whether the requested change landed and nothing else moved.</t>
  </si>
  <si>
    <t>The edit landed but the rest of the shot was regenerated with it.</t>
  </si>
  <si>
    <t>Only the requested element changed. Everything else is frame-stable.</t>
  </si>
  <si>
    <t>Difference map across frames outside the edit region.</t>
  </si>
  <si>
    <t>Conversational editing, local edits, background replacement.</t>
  </si>
  <si>
    <t>V12</t>
  </si>
  <si>
    <t>Text &amp; logo fidelity</t>
  </si>
  <si>
    <t>Same OCR-based approach as still images, applied per frame.</t>
  </si>
  <si>
    <t>On-screen text and brand marks — correct, stable, and not warping as the shot moves.</t>
  </si>
  <si>
    <t>Text is correct in frame one and degrades as the camera moves.</t>
  </si>
  <si>
    <t>Correct and stable for the full duration.</t>
  </si>
  <si>
    <t>OCR every Nth frame and diff against the intended string.</t>
  </si>
  <si>
    <t>Advertising, explainers, anything with supers or branding.</t>
  </si>
  <si>
    <t>V13</t>
  </si>
  <si>
    <t>Long-form coherence</t>
  </si>
  <si>
    <t>Overall Consistency / Long-Video Coherence</t>
  </si>
  <si>
    <t>VBench 'Overall Consistency'. Long-form coherence is an active gap in published benchmarks.</t>
  </si>
  <si>
    <t>Whether narrative, lighting, geography and continuity hold across shots or beyond ten seconds.</t>
  </si>
  <si>
    <t>Continuity breaks between shots — lighting jumps, geography contradicts itself.</t>
  </si>
  <si>
    <t>Reads as one coherent sequence a viewer would not question.</t>
  </si>
  <si>
    <t>Multi-shot sequences and anything over ten seconds.</t>
  </si>
  <si>
    <t>V14</t>
  </si>
  <si>
    <t>Same HEIM-style dimension set as still images.</t>
  </si>
  <si>
    <t>Likenesses, third-party IP, unsafe depictions, provenance marking.</t>
  </si>
  <si>
    <t>Clean, with provenance markers intact.</t>
  </si>
  <si>
    <t>Check provenance metadata. Reverse-search stills.</t>
  </si>
  <si>
    <t>GATE — always.</t>
  </si>
  <si>
    <t>V3, V4 and V5 are what separate current models, and they are the ones raters skip because they are harder to judge than a pretty frame. Scrub the clip; do not judge from a thumbnail.</t>
  </si>
  <si>
    <t>Voice — scoring dimensions</t>
  </si>
  <si>
    <t>Thirteen dimensions. A1 and A13 are gates. More of voice is objectively measurable than people expect — measure rather than listen wherever the blue column offers a method.</t>
  </si>
  <si>
    <t>A1</t>
  </si>
  <si>
    <t>Instruction following</t>
  </si>
  <si>
    <t>Instruction Following</t>
  </si>
  <si>
    <t>No formal ITU term. Reported in TTS papers as instruction or style-prompt adherence.</t>
  </si>
  <si>
    <t>Whether the delivery brief was honoured — tone, pace, emphasis, pauses, pronunciation directions, output format.</t>
  </si>
  <si>
    <t>The words are right but the requested delivery was ignored.</t>
  </si>
  <si>
    <t>Every delivery instruction audibly followed.</t>
  </si>
  <si>
    <t>Clause-by-clause pass/fail on the delivery brief.</t>
  </si>
  <si>
    <t>A2</t>
  </si>
  <si>
    <t>Naturalness</t>
  </si>
  <si>
    <t>MOS - Mean Opinion Score (Naturalness)</t>
  </si>
  <si>
    <t>ITU-T P.800 for lab testing; ITU-T P.808 for crowdsourced. UTMOS and NISQA are the neural predictors.</t>
  </si>
  <si>
    <t>Does it sound like a person. Prosody, rhythm, breath, sentence melody. This is a MOS judgement.</t>
  </si>
  <si>
    <t>Clearly synthetic. Flat or oddly cadenced.</t>
  </si>
  <si>
    <t>You would not question it in normal listening.</t>
  </si>
  <si>
    <t>Neural MOS predictors (UTMOS, NISQA) for triage only. They do not replace listeners.</t>
  </si>
  <si>
    <t>Always. Score under ITU-T P.800 conditions, or P.808 if crowdsourced.</t>
  </si>
  <si>
    <t>A3</t>
  </si>
  <si>
    <t>Intelligibility</t>
  </si>
  <si>
    <t>WER / CER (Word or Character Error Rate)</t>
  </si>
  <si>
    <t>Standard ASR-based intelligibility measure. Always report which ASR model produced it.</t>
  </si>
  <si>
    <t>Whether every word is recoverable, including under real playback conditions.</t>
  </si>
  <si>
    <t>A listener has to replay a sentence to catch it.</t>
  </si>
  <si>
    <t>Every word clear on first listen, including on a phone speaker.</t>
  </si>
  <si>
    <t>Run the audio through ASR and compute word error rate against the source text. Report the ASR model used.</t>
  </si>
  <si>
    <t>A4</t>
  </si>
  <si>
    <t>Pronunciation &amp; numerics</t>
  </si>
  <si>
    <t>(no single canonical term) — reported as Pronunciation Accuracy</t>
  </si>
  <si>
    <t>Related published measures: phoneme error rate, homograph disambiguation accuracy, text-normalisation accuracy for numerals.</t>
  </si>
  <si>
    <t>Names, places, digit strings, currency, dates, acronyms, units, and domain terms.</t>
  </si>
  <si>
    <t>One digit or name wrong. In a code or a price, this is a hard fail regardless of how good it sounds.</t>
  </si>
  <si>
    <t>Every name, number and term correct on first pass, with no SSML crutches.</t>
  </si>
  <si>
    <t>Build a fixed test list of names, digits and terms. Count errors. This is pass/fail per item, not a feel.</t>
  </si>
  <si>
    <t>Always. Weight it heavily for anything transactional.</t>
  </si>
  <si>
    <t>A5</t>
  </si>
  <si>
    <t>Expressiveness</t>
  </si>
  <si>
    <t>EMOS / Expressiveness MOS</t>
  </si>
  <si>
    <t>Emotion-MOS, used in expressive TTS evaluation. CMOS (Comparative MOS) is the standard for A-vs-B expressive comparisons.</t>
  </si>
  <si>
    <t>Whether emotional colour is present and appropriate — not just present, but right for the content.</t>
  </si>
  <si>
    <t>Emotion is applied but generically, or contradicts the content.</t>
  </si>
  <si>
    <t>Delivery choices track the meaning of the text.</t>
  </si>
  <si>
    <t>Advertising, narration, character work, audiobooks.</t>
  </si>
  <si>
    <t>A6</t>
  </si>
  <si>
    <t>Voice consistency</t>
  </si>
  <si>
    <t>SMOS (Similarity MOS) + SECS (Speaker Encoder Cosine Similarity)</t>
  </si>
  <si>
    <t>SMOS is the subjective measure; SECS is the objective speaker-embedding equivalent. Both are standard in voice-cloning papers.</t>
  </si>
  <si>
    <t>Whether the voice stays the same across a long passage, across separate requests, and across sessions.</t>
  </si>
  <si>
    <t>Timbre drifts within a passage or differs between requests.</t>
  </si>
  <si>
    <t>Indistinguishable across segments and across days.</t>
  </si>
  <si>
    <t>Speaker embedding cosine similarity between segments and between sessions. Report the spread.</t>
  </si>
  <si>
    <t>Series work, brand voices, anything generated in batches.</t>
  </si>
  <si>
    <t>A7</t>
  </si>
  <si>
    <t>Latency</t>
  </si>
  <si>
    <t>TTFB / TTFA + RTF (Real-Time Factor)</t>
  </si>
  <si>
    <t>Time to first byte or first audio; RTF is the standard throughput measure. Report percentiles, not means.</t>
  </si>
  <si>
    <t>Time to first audio, and total time. Measured on your own key, at your own tier.</t>
  </si>
  <si>
    <t>Perceptible dead air before speech begins.</t>
  </si>
  <si>
    <t>Below the threshold the use case demands — sub-second for conversation, a couple of seconds for narration.</t>
  </si>
  <si>
    <t>Measure time-to-first-audio and end-to-end. Report p50, p95 and p99 — never the average alone. Note the tier and key, since routing dominates.</t>
  </si>
  <si>
    <t>Always. The single most important dimension for realtime agents.</t>
  </si>
  <si>
    <t>A8</t>
  </si>
  <si>
    <t>Turn-taking &amp; barge-in</t>
  </si>
  <si>
    <t>Barge-in Latency + False Interruption Rate</t>
  </si>
  <si>
    <t>Voice-agent evaluation practice rather than a formal standard. No ITU equivalent.</t>
  </si>
  <si>
    <t>Whether it stops when interrupted, how fast, and whether it stops when it should not.</t>
  </si>
  <si>
    <t>Talks over the user, or cuts out on background noise.</t>
  </si>
  <si>
    <t>Stops promptly on genuine interruption, holds through incidental noise.</t>
  </si>
  <si>
    <t>Script interruptions at fixed offsets. Measure suppression time in ms and count false barge-ins.</t>
  </si>
  <si>
    <t>Realtime conversational agents.</t>
  </si>
  <si>
    <t>A9</t>
  </si>
  <si>
    <t>Multilingual quality</t>
  </si>
  <si>
    <t>Per-language WER + native-speaker MOS</t>
  </si>
  <si>
    <t>Standard multilingual TTS practice. FLEURS is the reference multilingual speech dataset.</t>
  </si>
  <si>
    <t>Native-speaker plausibility per language, plus code-switching within a sentence.</t>
  </si>
  <si>
    <t>Accent is wrong, or code-switching breaks the prosody.</t>
  </si>
  <si>
    <t>A native speaker would not flag it.</t>
  </si>
  <si>
    <t>Per-language WER plus native-speaker review. Do not score a language nobody on the team speaks.</t>
  </si>
  <si>
    <t>Localisation, multi-market deployment, translation.</t>
  </si>
  <si>
    <t>A10</t>
  </si>
  <si>
    <t>Noise robustness</t>
  </si>
  <si>
    <t>Degraded-condition MOS / Noise Robustness</t>
  </si>
  <si>
    <t>ITU-T P.835 covers speech quality under noise conditions.</t>
  </si>
  <si>
    <t>Behaviour with background noise, poor microphones, telephony codecs, crosstalk.</t>
  </si>
  <si>
    <t>Degrades sharply outside clean studio input.</t>
  </si>
  <si>
    <t>Holds up over a phone line and in a noisy room.</t>
  </si>
  <si>
    <t>Test against a fixed set of noise conditions and codecs. Report per condition.</t>
  </si>
  <si>
    <t>Telephony, in-car, field, retail deployments.</t>
  </si>
  <si>
    <t>A11</t>
  </si>
  <si>
    <t>Long-form stability</t>
  </si>
  <si>
    <t>(no canonical term) — reported as Long-form Stability</t>
  </si>
  <si>
    <t>An acknowledged gap. Usually reported as MOS measured at intervals across a long sample.</t>
  </si>
  <si>
    <t>Whether quality holds beyond a few minutes — drift, artifacts, pacing collapse, pronunciation degrading.</t>
  </si>
  <si>
    <t>Noticeably worse by minute five than minute one.</t>
  </si>
  <si>
    <t>Minute twenty sounds like minute one.</t>
  </si>
  <si>
    <t>Score identical dimensions at the start, middle and end of a long run and compare.</t>
  </si>
  <si>
    <t>Audiobooks, podcasts, long agent sessions.</t>
  </si>
  <si>
    <t>A12</t>
  </si>
  <si>
    <t>Agent &amp; tool correctness</t>
  </si>
  <si>
    <t>Task Success Rate + Tool-Call Accuracy</t>
  </si>
  <si>
    <t>Agent evaluation practice. Borrowed from function-calling benchmarks such as BFCL.</t>
  </si>
  <si>
    <t>For agents: did it call the right tool with the right arguments, and complete the task.</t>
  </si>
  <si>
    <t>Task completed but with a wrong argument, or an unnecessary tool call.</t>
  </si>
  <si>
    <t>Correct tool, correct arguments, task complete, no hallucinated confirmation.</t>
  </si>
  <si>
    <t>Task success rate over a fixed scenario set. Log every tool call and diff against expected.</t>
  </si>
  <si>
    <t>Any agent use case. Weight this above voice quality — a pleasant voice giving wrong information is worse than a plain one giving right information.</t>
  </si>
  <si>
    <t>A13</t>
  </si>
  <si>
    <t>Safety / Consent / Disclosure</t>
  </si>
  <si>
    <t>Governed by policy and regulation rather than by a benchmark dimension.</t>
  </si>
  <si>
    <t>Voice cloning consent, impersonation, unsafe content, disclosure that the caller is speaking to an AI.</t>
  </si>
  <si>
    <t>Any consent or disclosure ambiguity.</t>
  </si>
  <si>
    <t>Clean, with disclosure handled and consent documented.</t>
  </si>
  <si>
    <t>Naturalness is the dimension everyone reaches for and the least decisive. A4 pronunciation and A7 latency will separate models far more reliably, and both are measurable rather than felt.</t>
  </si>
  <si>
    <t>Which dimensions to score, per use case</t>
  </si>
  <si>
    <t>Pick your random use case, find its family here, score the listed dimensions. Weights are a starting point — adjust once, at the start, and then do not touch them mid-round.</t>
  </si>
  <si>
    <t>Score these dimensions</t>
  </si>
  <si>
    <t>Weight the heavy ones</t>
  </si>
  <si>
    <t>Extra pass/fail gate for this family</t>
  </si>
  <si>
    <t>I3 preservation at double weight — this is the whole task</t>
  </si>
  <si>
    <t>Reject if anything outside the edit region changed visibly</t>
  </si>
  <si>
    <t>I4 text rendering at triple weight</t>
  </si>
  <si>
    <t>Reject on any spelling error, however good it looks</t>
  </si>
  <si>
    <t>I7 brand fidelity at double weight</t>
  </si>
  <si>
    <t>Reject if brand colour is outside tolerance or the mark is redrawn</t>
  </si>
  <si>
    <t>Character &amp; identity work</t>
  </si>
  <si>
    <t>I5 identity consistency at double weight</t>
  </si>
  <si>
    <t>Reject if a stranger could not match the outputs as the same subject</t>
  </si>
  <si>
    <t>I4 and I9 both at double weight</t>
  </si>
  <si>
    <t>Reject if text in the mockup is not readable at intended size</t>
  </si>
  <si>
    <t>I8 style control at double weight</t>
  </si>
  <si>
    <t>Reject if the subject is no longer recognisable</t>
  </si>
  <si>
    <t>V3 and V4 at double weight</t>
  </si>
  <si>
    <t>Reject on any identity change mid-shot</t>
  </si>
  <si>
    <t>V12 text/logo and V10 reference at double weight</t>
  </si>
  <si>
    <t>Reject if the product is altered from the supplied reference</t>
  </si>
  <si>
    <t>V9 lip-sync at triple weight</t>
  </si>
  <si>
    <t>Reject if sync drift exceeds your tolerance by the end of the clip</t>
  </si>
  <si>
    <t>V10 reference fidelity at triple weight</t>
  </si>
  <si>
    <t>Reject if the supplied frame is not reproduced faithfully</t>
  </si>
  <si>
    <t>V11 editing precision at triple weight</t>
  </si>
  <si>
    <t>Reject if untouched regions were regenerated</t>
  </si>
  <si>
    <t>Physics-heavy or action</t>
  </si>
  <si>
    <t>V5 physics at triple weight</t>
  </si>
  <si>
    <t>Reject on any object passing through another</t>
  </si>
  <si>
    <t>A2 naturalness and A11 long-form stability at double weight</t>
  </si>
  <si>
    <t>Reject if quality at minute ten is worse than minute one</t>
  </si>
  <si>
    <t>A7 latency and A12 task correctness at triple weight</t>
  </si>
  <si>
    <t>Reject if p95 time-to-first-audio misses the use case threshold</t>
  </si>
  <si>
    <t>A4 numerics at triple weight</t>
  </si>
  <si>
    <t>Reject on any misread digit, code or amount — no exceptions</t>
  </si>
  <si>
    <t>A5 expressiveness at double weight</t>
  </si>
  <si>
    <t>Reject if delivery contradicts the copy's intent</t>
  </si>
  <si>
    <t>A9 multilingual quality at triple weight</t>
  </si>
  <si>
    <t>Reject any language with no native speaker available to review</t>
  </si>
  <si>
    <t>Scorecard — one per model, per use case</t>
  </si>
  <si>
    <t>Copy this block for each model. Enter 1-5 in the rater columns. The adherence cap and weighted total calculate themselves.</t>
  </si>
  <si>
    <t>Use case</t>
  </si>
  <si>
    <t>Model name</t>
  </si>
  <si>
    <t>Exact model ID</t>
  </si>
  <si>
    <t>Date scored</t>
  </si>
  <si>
    <t>Prompts x seeds</t>
  </si>
  <si>
    <t>5 x 3 = 15 outputs</t>
  </si>
  <si>
    <t>Raters (initials)</t>
  </si>
  <si>
    <t>Settings / params</t>
  </si>
  <si>
    <t>Weight</t>
  </si>
  <si>
    <t>Rater 1</t>
  </si>
  <si>
    <t>Rater 2</t>
  </si>
  <si>
    <t>Rater 3</t>
  </si>
  <si>
    <t>Mean</t>
  </si>
  <si>
    <t>Spread (max-min)</t>
  </si>
  <si>
    <t>Agreement OK?</t>
  </si>
  <si>
    <t>Capped score</t>
  </si>
  <si>
    <t>Instruction adherence (GATE)</t>
  </si>
  <si>
    <t>Preservation</t>
  </si>
  <si>
    <t>Composition</t>
  </si>
  <si>
    <t>Safety (GATE)</t>
  </si>
  <si>
    <t>WEIGHTED TOTAL (out of 5)</t>
  </si>
  <si>
    <t>Adherence cap active?</t>
  </si>
  <si>
    <t>Dimension rows are the image set as an example. Swap in the codes from the Video or Voice tab and the formulas keep working. Weight column drives the total, so set it from the Use case profiles tab before scoring.</t>
  </si>
  <si>
    <t>Spread over 1 point means your raters are reading the anchor differently. Fix the wording before you trust the number — do not average the disagreement away.</t>
  </si>
  <si>
    <t>Benchmark provenance</t>
  </si>
  <si>
    <t>Every design decision here is borrowed from an established protocol rather than invented. If anyone challenges the method, this is the answer.</t>
  </si>
  <si>
    <t>Design decision</t>
  </si>
  <si>
    <t>Borrowed from</t>
  </si>
  <si>
    <t>What they do</t>
  </si>
  <si>
    <t>Adherence caps the other dimensions</t>
  </si>
  <si>
    <t>ImgEdit-Bench</t>
  </si>
  <si>
    <t>Scores instruction adherence, editing quality and detail preservation 1-5, with the latter two capped by adherence.</t>
  </si>
  <si>
    <t>Splitting semantic correctness from perceptual quality</t>
  </si>
  <si>
    <t>GEdit-Bench / VIEScore</t>
  </si>
  <si>
    <t>Reports semantic consistency and perceptual quality separately, then an overall score, each 0-10.</t>
  </si>
  <si>
    <t>Dimensions beyond 'does it look good'</t>
  </si>
  <si>
    <t>VBench and VBench-2.0</t>
  </si>
  <si>
    <t>Sixteen dimensions in v1; v2 adds human fidelity, controllability, creativity, physics and commonsense, validated against human annotation.</t>
  </si>
  <si>
    <t>Structured VQA for physics and spatial checks</t>
  </si>
  <si>
    <t>VBench-2.0, RISE-Video</t>
  </si>
  <si>
    <t>Ask a vision model closed questions about specific events rather than scoring a vibe.</t>
  </si>
  <si>
    <t>Reporting inter-rater agreement</t>
  </si>
  <si>
    <t>Publishes an inter-human agreement table alongside its scores.</t>
  </si>
  <si>
    <t>Pairwise win rates as the tie-break</t>
  </si>
  <si>
    <t>VABench user study; GSB comparisons</t>
  </si>
  <si>
    <t>Six professional evaluators rate 1-5, then pairwise win rates are computed and correlated against the benchmark.</t>
  </si>
  <si>
    <t>1-5 listening scale for voice</t>
  </si>
  <si>
    <t>ITU-T P.800 / P.808 (MOS)</t>
  </si>
  <si>
    <t>The standard for subjective speech quality. P.808 covers crowdsourced testing.</t>
  </si>
  <si>
    <t>WER via ASR for intelligibility</t>
  </si>
  <si>
    <t>Standard TTS evaluation practice</t>
  </si>
  <si>
    <t>Transcribe the output and diff against the source text. Always report which ASR model was used.</t>
  </si>
  <si>
    <t>Speaker embedding similarity for voice consistency</t>
  </si>
  <si>
    <t>SMOS / speaker-similarity practice</t>
  </si>
  <si>
    <t>Cosine similarity between speaker embeddings, reported alongside subjective similarity scores.</t>
  </si>
  <si>
    <t>Latency as p50/p95/p99, not an average</t>
  </si>
  <si>
    <t>Voice agent evaluation practice</t>
  </si>
  <si>
    <t>Component latency and end-to-end response time tracked at percentiles, with per-component budgets.</t>
  </si>
  <si>
    <t>Never comparing scores across sessions</t>
  </si>
  <si>
    <t>TTS evaluation literature</t>
  </si>
  <si>
    <t>Subjective scores are not transferable between studies; new and old systems must be re-rated together in one test.</t>
  </si>
  <si>
    <t>Three seeds minimum</t>
  </si>
  <si>
    <t>Image-editing benchmark practice</t>
  </si>
  <si>
    <t>Run-to-run variance on these benchmarks can exceed the gap between methods, so single-generation scoring measures the seed.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</si>
</sst>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
    </font>
    <font>
      <b/>
      <sz val="15"/>
      <color rgb="FF1F3864"/>
      <name val="Arial"/>
      <charset val="1"/>
    </font>
    <font>
      <i/>
      <sz val="10"/>
      <color rgb="FF595959"/>
      <name val="Arial"/>
      <charset val="1"/>
    </font>
    <font>
      <sz val="10"/>
      <name val="Arial"/>
      <charset val="1"/>
    </font>
    <font>
      <b/>
      <sz val="11"/>
      <color rgb="FF1F3864"/>
      <name val="Arial"/>
      <charset val="1"/>
    </font>
    <font>
      <b/>
      <sz val="10"/>
      <name val="Arial"/>
      <charset val="1"/>
    </font>
    <font>
      <b/>
      <sz val="10"/>
      <color rgb="FFFFFFFF"/>
      <name val="Arial"/>
      <charset val="1"/>
    </font>
    <font>
      <b/>
      <sz val="9.5"/>
      <name val="Arial"/>
      <charset val="1"/>
    </font>
    <font>
      <sz val="9.5"/>
      <name val="Arial"/>
      <charset val="1"/>
    </font>
    <font>
      <u/>
      <sz val="9.5"/>
      <color rgb="FF0563C1"/>
      <name val="Arial"/>
      <charset val="1"/>
    </font>
    <font>
      <sz val="9"/>
      <name val="Consolas"/>
      <charset val="1"/>
    </font>
    <font>
      <u/>
      <sz val="10"/>
      <color rgb="FF0563C1"/>
      <name val="Arial"/>
      <charset val="1"/>
    </font>
  </fonts>
  <fills count="14">
    <fill>
      <patternFill patternType="none"/>
    </fill>
    <fill>
      <patternFill patternType="gray125"/>
    </fill>
    <fill>
      <patternFill patternType="solid">
        <fgColor rgb="FF1F3864"/>
        <bgColor rgb="FF333333"/>
      </patternFill>
    </fill>
    <fill>
      <patternFill patternType="solid">
        <fgColor rgb="FFE8F1FB"/>
        <bgColor rgb="FFEAF3EA"/>
      </patternFill>
    </fill>
    <fill>
      <patternFill patternType="solid">
        <fgColor rgb="FFDDEBF7"/>
        <bgColor rgb="FFE8F1FB"/>
      </patternFill>
    </fill>
    <fill>
      <patternFill patternType="solid">
        <fgColor rgb="FFFFF2CC"/>
        <bgColor rgb="FFFBF0E8"/>
      </patternFill>
    </fill>
    <fill>
      <patternFill patternType="solid">
        <fgColor rgb="FFFCE4EC"/>
        <bgColor rgb="FFFCE4E4"/>
      </patternFill>
    </fill>
    <fill>
      <patternFill patternType="solid">
        <fgColor rgb="FFE2EFDA"/>
        <bgColor rgb="FFEAF3EA"/>
      </patternFill>
    </fill>
    <fill>
      <patternFill patternType="solid">
        <fgColor rgb="FFFBF0E8"/>
        <bgColor rgb="FFF2F2F2"/>
      </patternFill>
    </fill>
    <fill>
      <patternFill patternType="solid">
        <fgColor rgb="FFEDE8FB"/>
        <bgColor rgb="FFEDEDED"/>
      </patternFill>
    </fill>
    <fill>
      <patternFill patternType="solid">
        <fgColor rgb="FFF2F2F2"/>
        <bgColor rgb="FFEDEDED"/>
      </patternFill>
    </fill>
    <fill>
      <patternFill patternType="solid">
        <fgColor rgb="FFEAF3EA"/>
        <bgColor rgb="FFEDEDED"/>
      </patternFill>
    </fill>
    <fill>
      <patternFill patternType="solid">
        <fgColor rgb="FFFCE4E4"/>
        <bgColor rgb="FFFCE4EC"/>
      </patternFill>
    </fill>
    <fill>
      <patternFill patternType="solid">
        <fgColor rgb="FFEDEDED"/>
        <bgColor rgb="FFEAF3EA"/>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 fillId="0" borderId="0" xfId="0" applyFont="1"/>
    <xf numFmtId="0" fontId="2" fillId="0" borderId="0" xfId="0" applyFont="1"/>
    <xf numFmtId="0" fontId="6" fillId="2" borderId="0" xfId="0" applyFont="1" applyFill="1" applyAlignment="1">
      <alignment horizontal="center" vertical="center" wrapText="1"/>
    </xf>
    <xf numFmtId="0" fontId="7" fillId="0" borderId="1" xfId="0" applyFont="1" applyBorder="1" applyAlignment="1">
      <alignment horizontal="center" vertical="center" wrapText="1"/>
    </xf>
    <xf numFmtId="0" fontId="8" fillId="3" borderId="1" xfId="0" applyFont="1" applyFill="1" applyBorder="1" applyAlignment="1">
      <alignment horizontal="center" vertical="center" wrapText="1"/>
    </xf>
    <xf numFmtId="0" fontId="8" fillId="0" borderId="1" xfId="0" applyFont="1" applyBorder="1" applyAlignment="1">
      <alignment vertical="top" wrapText="1"/>
    </xf>
    <xf numFmtId="0" fontId="7" fillId="4" borderId="1" xfId="0" applyFont="1" applyFill="1" applyBorder="1" applyAlignment="1">
      <alignment vertical="top" wrapText="1"/>
    </xf>
    <xf numFmtId="0" fontId="7" fillId="5" borderId="1" xfId="0" applyFont="1" applyFill="1" applyBorder="1" applyAlignment="1">
      <alignment vertical="top" wrapText="1"/>
    </xf>
    <xf numFmtId="0" fontId="7" fillId="6" borderId="1" xfId="0" applyFont="1" applyFill="1" applyBorder="1" applyAlignment="1">
      <alignment vertical="top" wrapText="1"/>
    </xf>
    <xf numFmtId="0" fontId="7" fillId="7" borderId="1" xfId="0" applyFont="1" applyFill="1" applyBorder="1" applyAlignment="1">
      <alignment vertical="top" wrapText="1"/>
    </xf>
    <xf numFmtId="0" fontId="8" fillId="8"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4" fillId="0" borderId="0" xfId="0" applyFont="1"/>
    <xf numFmtId="0" fontId="7" fillId="5" borderId="1" xfId="0" applyFont="1" applyFill="1" applyBorder="1"/>
    <xf numFmtId="0" fontId="0" fillId="0" borderId="1" xfId="0" applyBorder="1" applyAlignment="1">
      <alignment horizontal="center" vertical="center" wrapText="1"/>
    </xf>
    <xf numFmtId="0" fontId="7" fillId="6" borderId="1" xfId="0" applyFont="1" applyFill="1" applyBorder="1"/>
    <xf numFmtId="0" fontId="7" fillId="4" borderId="1" xfId="0" applyFont="1" applyFill="1" applyBorder="1"/>
    <xf numFmtId="0" fontId="7" fillId="7" borderId="1" xfId="0" applyFont="1" applyFill="1" applyBorder="1"/>
    <xf numFmtId="0" fontId="7" fillId="0" borderId="1" xfId="0" applyFont="1" applyBorder="1" applyAlignment="1">
      <alignment vertical="top" wrapText="1"/>
    </xf>
    <xf numFmtId="0" fontId="8" fillId="0" borderId="1" xfId="0" applyFont="1" applyBorder="1" applyAlignment="1">
      <alignment horizontal="center" vertical="center" wrapText="1"/>
    </xf>
    <xf numFmtId="0" fontId="7" fillId="10" borderId="1" xfId="0" applyFont="1" applyFill="1" applyBorder="1" applyAlignment="1">
      <alignment horizontal="center" vertical="center" wrapText="1"/>
    </xf>
    <xf numFmtId="0" fontId="8" fillId="11" borderId="1" xfId="0" applyFont="1" applyFill="1" applyBorder="1" applyAlignment="1">
      <alignment vertical="top" wrapText="1"/>
    </xf>
    <xf numFmtId="0" fontId="9" fillId="0" borderId="1" xfId="0" applyFont="1" applyBorder="1" applyAlignment="1">
      <alignment horizontal="center" vertical="center" wrapText="1"/>
    </xf>
    <xf numFmtId="0" fontId="8" fillId="5" borderId="1" xfId="0" applyFont="1" applyFill="1" applyBorder="1" applyAlignment="1">
      <alignment vertical="top" wrapText="1"/>
    </xf>
    <xf numFmtId="0" fontId="8" fillId="4" borderId="1" xfId="0" applyFont="1" applyFill="1" applyBorder="1" applyAlignment="1">
      <alignment vertical="top" wrapText="1"/>
    </xf>
    <xf numFmtId="0" fontId="8" fillId="10" borderId="1" xfId="0" applyFont="1" applyFill="1" applyBorder="1" applyAlignment="1">
      <alignment vertical="top" wrapText="1"/>
    </xf>
    <xf numFmtId="0" fontId="7" fillId="3" borderId="1" xfId="0" applyFont="1" applyFill="1" applyBorder="1" applyAlignment="1">
      <alignment vertical="top" wrapText="1"/>
    </xf>
    <xf numFmtId="0" fontId="7" fillId="7" borderId="1" xfId="0" applyFont="1" applyFill="1" applyBorder="1" applyAlignment="1">
      <alignment horizontal="center" vertical="center" wrapText="1"/>
    </xf>
    <xf numFmtId="0" fontId="8" fillId="7" borderId="1" xfId="0" applyFont="1" applyFill="1" applyBorder="1" applyAlignment="1">
      <alignment vertical="top" wrapText="1"/>
    </xf>
    <xf numFmtId="0" fontId="7" fillId="5" borderId="1" xfId="0" applyFont="1" applyFill="1" applyBorder="1" applyAlignment="1">
      <alignment horizontal="center" vertical="center" wrapText="1"/>
    </xf>
    <xf numFmtId="0" fontId="8" fillId="12" borderId="1" xfId="0" applyFont="1" applyFill="1" applyBorder="1" applyAlignment="1">
      <alignment vertical="top" wrapText="1"/>
    </xf>
    <xf numFmtId="0" fontId="7" fillId="12" borderId="1" xfId="0" applyFont="1" applyFill="1" applyBorder="1" applyAlignment="1">
      <alignment horizontal="center" vertical="center" wrapText="1"/>
    </xf>
    <xf numFmtId="0" fontId="7" fillId="8" borderId="1" xfId="0" applyFont="1" applyFill="1" applyBorder="1" applyAlignment="1">
      <alignment vertical="top" wrapText="1"/>
    </xf>
    <xf numFmtId="0" fontId="7" fillId="9" borderId="1" xfId="0" applyFont="1" applyFill="1" applyBorder="1" applyAlignment="1">
      <alignment vertical="top" wrapText="1"/>
    </xf>
    <xf numFmtId="0" fontId="10" fillId="10" borderId="1" xfId="0" applyFont="1" applyFill="1" applyBorder="1" applyAlignment="1">
      <alignment vertical="top" wrapText="1"/>
    </xf>
    <xf numFmtId="0" fontId="8" fillId="7" borderId="1" xfId="0" applyFont="1" applyFill="1" applyBorder="1" applyAlignment="1">
      <alignment horizontal="center" vertical="center" wrapText="1"/>
    </xf>
    <xf numFmtId="0" fontId="10" fillId="0" borderId="1" xfId="0" applyFont="1" applyBorder="1" applyAlignment="1">
      <alignment vertical="top" wrapText="1"/>
    </xf>
    <xf numFmtId="0" fontId="8" fillId="5"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3" borderId="1" xfId="0" applyFont="1" applyFill="1" applyBorder="1" applyAlignment="1">
      <alignment vertical="top" wrapText="1"/>
    </xf>
    <xf numFmtId="0" fontId="8" fillId="13" borderId="1" xfId="0" applyFont="1" applyFill="1" applyBorder="1" applyAlignment="1">
      <alignment vertical="top" wrapText="1"/>
    </xf>
    <xf numFmtId="0" fontId="3" fillId="0" borderId="1" xfId="0" applyFont="1" applyBorder="1" applyAlignment="1">
      <alignment vertical="top" wrapText="1"/>
    </xf>
    <xf numFmtId="0" fontId="3" fillId="4" borderId="1" xfId="0" applyFont="1" applyFill="1" applyBorder="1" applyAlignment="1">
      <alignment vertical="top" wrapText="1"/>
    </xf>
    <xf numFmtId="0" fontId="5" fillId="12"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5" fillId="3" borderId="1" xfId="0" applyFont="1" applyFill="1" applyBorder="1" applyAlignment="1">
      <alignment horizontal="center" vertical="center" wrapText="1"/>
    </xf>
    <xf numFmtId="0" fontId="5" fillId="0" borderId="1" xfId="0" applyFont="1" applyBorder="1" applyAlignment="1">
      <alignment vertical="top" wrapText="1"/>
    </xf>
    <xf numFmtId="0" fontId="3" fillId="12" borderId="1" xfId="0" applyFont="1" applyFill="1" applyBorder="1" applyAlignment="1">
      <alignment vertical="top" wrapText="1"/>
    </xf>
    <xf numFmtId="0" fontId="5" fillId="8"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5" borderId="1" xfId="0" applyFont="1" applyFill="1" applyBorder="1"/>
    <xf numFmtId="0" fontId="3" fillId="0" borderId="1" xfId="0" applyFont="1" applyBorder="1"/>
    <xf numFmtId="0" fontId="3" fillId="0" borderId="1" xfId="0" applyFont="1" applyBorder="1" applyAlignment="1">
      <alignment horizontal="center" vertical="center" wrapText="1"/>
    </xf>
    <xf numFmtId="0" fontId="3" fillId="7" borderId="1" xfId="0" applyFont="1" applyFill="1" applyBorder="1" applyAlignment="1">
      <alignment horizontal="center" vertical="center" wrapText="1"/>
    </xf>
    <xf numFmtId="2" fontId="3" fillId="0" borderId="1" xfId="0" applyNumberFormat="1" applyFont="1" applyBorder="1" applyAlignment="1">
      <alignment horizontal="center" vertical="center" wrapText="1"/>
    </xf>
    <xf numFmtId="0" fontId="5" fillId="0" borderId="0" xfId="0" applyFont="1"/>
    <xf numFmtId="2" fontId="5" fillId="5" borderId="0" xfId="0" applyNumberFormat="1" applyFont="1" applyFill="1" applyAlignment="1">
      <alignment horizontal="center" vertical="center" wrapText="1"/>
    </xf>
    <xf numFmtId="0" fontId="11" fillId="0" borderId="1" xfId="0" applyFont="1" applyBorder="1" applyAlignment="1">
      <alignment horizontal="center" vertical="center" wrapText="1"/>
    </xf>
    <xf numFmtId="0" fontId="8" fillId="0" borderId="0" xfId="0" applyFont="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2F2F2"/>
      <rgbColor rgb="FFFF00FF"/>
      <rgbColor rgb="FF00FFFF"/>
      <rgbColor rgb="FF800000"/>
      <rgbColor rgb="FF008000"/>
      <rgbColor rgb="FF000080"/>
      <rgbColor rgb="FF808000"/>
      <rgbColor rgb="FF800080"/>
      <rgbColor rgb="FF008080"/>
      <rgbColor rgb="FFEDE8FB"/>
      <rgbColor rgb="FF808080"/>
      <rgbColor rgb="FF9999FF"/>
      <rgbColor rgb="FF993366"/>
      <rgbColor rgb="FFFFF2CC"/>
      <rgbColor rgb="FFDDEBF7"/>
      <rgbColor rgb="FF660066"/>
      <rgbColor rgb="FFFF8080"/>
      <rgbColor rgb="FF0563C1"/>
      <rgbColor rgb="FFD0D0D0"/>
      <rgbColor rgb="FF000080"/>
      <rgbColor rgb="FFFF00FF"/>
      <rgbColor rgb="FFFFFF00"/>
      <rgbColor rgb="FF00FFFF"/>
      <rgbColor rgb="FF800080"/>
      <rgbColor rgb="FF800000"/>
      <rgbColor rgb="FF008080"/>
      <rgbColor rgb="FF0000FF"/>
      <rgbColor rgb="FF00CCFF"/>
      <rgbColor rgb="FFE8F1FB"/>
      <rgbColor rgb="FFE2EFDA"/>
      <rgbColor rgb="FFFBF0E8"/>
      <rgbColor rgb="FFEDEDED"/>
      <rgbColor rgb="FFFCE4EC"/>
      <rgbColor rgb="FFEAF3EA"/>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6" Type="http://schemas.openxmlformats.org/officeDocument/2006/relationships/hyperlink" Target="https://huggingface.co/datasets/SFHQ" TargetMode="External"/><Relationship Id="rId21" Type="http://schemas.openxmlformats.org/officeDocument/2006/relationships/hyperlink" Target="https://huggingface.co/datasets/SFHQ" TargetMode="External"/><Relationship Id="rId42" Type="http://schemas.openxmlformats.org/officeDocument/2006/relationships/hyperlink" Target="https://app.gazebosim.org/GoogleResearch/fuel/collections/Scanned%20Objects%20by%20Google%20Research" TargetMode="External"/><Relationship Id="rId47" Type="http://schemas.openxmlformats.org/officeDocument/2006/relationships/hyperlink" Target="https://github.com/MRzzm/HDTF" TargetMode="External"/><Relationship Id="rId63" Type="http://schemas.openxmlformats.org/officeDocument/2006/relationships/hyperlink" Target="https://sites.google.com/view/loveucvpr23/track4" TargetMode="External"/><Relationship Id="rId68" Type="http://schemas.openxmlformats.org/officeDocument/2006/relationships/hyperlink" Target="https://www.gutenberg.org/" TargetMode="External"/><Relationship Id="rId84" Type="http://schemas.openxmlformats.org/officeDocument/2006/relationships/hyperlink" Target="https://github.com/rwsproat/text-normalization-data" TargetMode="External"/><Relationship Id="rId89" Type="http://schemas.openxmlformats.org/officeDocument/2006/relationships/hyperlink" Target="https://www.openslr.org/141/" TargetMode="External"/><Relationship Id="rId16" Type="http://schemas.openxmlformats.org/officeDocument/2006/relationships/hyperlink" Target="https://app.gazebosim.org/GoogleResearch/fuel/collections/Scanned%20Objects%20by%20Google%20Research" TargetMode="External"/><Relationship Id="rId11" Type="http://schemas.openxmlformats.org/officeDocument/2006/relationships/hyperlink" Target="https://app.gazebosim.org/GoogleResearch/fuel/collections/Scanned%20Objects%20by%20Google%20Research" TargetMode="External"/><Relationship Id="rId32" Type="http://schemas.openxmlformats.org/officeDocument/2006/relationships/hyperlink" Target="https://www.pexels.com/" TargetMode="External"/><Relationship Id="rId37" Type="http://schemas.openxmlformats.org/officeDocument/2006/relationships/hyperlink" Target="https://app.gazebosim.org/GoogleResearch/fuel/collections/Scanned%20Objects%20by%20Google%20Research" TargetMode="External"/><Relationship Id="rId53" Type="http://schemas.openxmlformats.org/officeDocument/2006/relationships/hyperlink" Target="https://www.pexels.com/" TargetMode="External"/><Relationship Id="rId58" Type="http://schemas.openxmlformats.org/officeDocument/2006/relationships/hyperlink" Target="https://arxiv.org/abs/2503.17641" TargetMode="External"/><Relationship Id="rId74" Type="http://schemas.openxmlformats.org/officeDocument/2006/relationships/hyperlink" Target="https://www.gutenberg.org/" TargetMode="External"/><Relationship Id="rId79" Type="http://schemas.openxmlformats.org/officeDocument/2006/relationships/hyperlink" Target="https://github.com/rwsproat/text-normalization-data" TargetMode="External"/><Relationship Id="rId5" Type="http://schemas.openxmlformats.org/officeDocument/2006/relationships/hyperlink" Target="https://www.pexels.com/" TargetMode="External"/><Relationship Id="rId90" Type="http://schemas.openxmlformats.org/officeDocument/2006/relationships/hyperlink" Target="https://www.openslr.org/141/" TargetMode="External"/><Relationship Id="rId95" Type="http://schemas.openxmlformats.org/officeDocument/2006/relationships/hyperlink" Target="https://huggingface.co/datasets/google/fleurs" TargetMode="External"/><Relationship Id="rId22" Type="http://schemas.openxmlformats.org/officeDocument/2006/relationships/hyperlink" Target="https://huggingface.co/datasets/SFHQ" TargetMode="External"/><Relationship Id="rId27" Type="http://schemas.openxmlformats.org/officeDocument/2006/relationships/hyperlink" Target="https://huggingface.co/datasets/HuggingFaceM4/WebSight" TargetMode="External"/><Relationship Id="rId43" Type="http://schemas.openxmlformats.org/officeDocument/2006/relationships/hyperlink" Target="https://app.gazebosim.org/GoogleResearch/fuel/collections/Scanned%20Objects%20by%20Google%20Research" TargetMode="External"/><Relationship Id="rId48" Type="http://schemas.openxmlformats.org/officeDocument/2006/relationships/hyperlink" Target="https://www.pexels.com/" TargetMode="External"/><Relationship Id="rId64" Type="http://schemas.openxmlformats.org/officeDocument/2006/relationships/hyperlink" Target="https://sites.google.com/view/loveucvpr23/track4" TargetMode="External"/><Relationship Id="rId69" Type="http://schemas.openxmlformats.org/officeDocument/2006/relationships/hyperlink" Target="https://www.gutenberg.org/" TargetMode="External"/><Relationship Id="rId80" Type="http://schemas.openxmlformats.org/officeDocument/2006/relationships/hyperlink" Target="https://github.com/rwsproat/text-normalization-data" TargetMode="External"/><Relationship Id="rId85" Type="http://schemas.openxmlformats.org/officeDocument/2006/relationships/hyperlink" Target="https://github.com/rwsproat/text-normalization-data" TargetMode="External"/><Relationship Id="rId3" Type="http://schemas.openxmlformats.org/officeDocument/2006/relationships/hyperlink" Target="https://huggingface.co/datasets/stepfun-ai/GEdit-Bench" TargetMode="External"/><Relationship Id="rId12" Type="http://schemas.openxmlformats.org/officeDocument/2006/relationships/hyperlink" Target="https://app.gazebosim.org/GoogleResearch/fuel/collections/Scanned%20Objects%20by%20Google%20Research" TargetMode="External"/><Relationship Id="rId17" Type="http://schemas.openxmlformats.org/officeDocument/2006/relationships/hyperlink" Target="https://huggingface.co/datasets/SFHQ" TargetMode="External"/><Relationship Id="rId25" Type="http://schemas.openxmlformats.org/officeDocument/2006/relationships/hyperlink" Target="https://huggingface.co/datasets/SFHQ" TargetMode="External"/><Relationship Id="rId33" Type="http://schemas.openxmlformats.org/officeDocument/2006/relationships/hyperlink" Target="https://app.gazebosim.org/GoogleResearch/fuel/collections/Scanned%20Objects%20by%20Google%20Research" TargetMode="External"/><Relationship Id="rId38" Type="http://schemas.openxmlformats.org/officeDocument/2006/relationships/hyperlink" Target="https://app.gazebosim.org/GoogleResearch/fuel/collections/Scanned%20Objects%20by%20Google%20Research" TargetMode="External"/><Relationship Id="rId46" Type="http://schemas.openxmlformats.org/officeDocument/2006/relationships/hyperlink" Target="https://huggingface.co/datasets/ai4bharat/indicvoices_r" TargetMode="External"/><Relationship Id="rId59" Type="http://schemas.openxmlformats.org/officeDocument/2006/relationships/hyperlink" Target="https://sites.google.com/view/loveucvpr23/track4" TargetMode="External"/><Relationship Id="rId67" Type="http://schemas.openxmlformats.org/officeDocument/2006/relationships/hyperlink" Target="https://www.gutenberg.org/" TargetMode="External"/><Relationship Id="rId20" Type="http://schemas.openxmlformats.org/officeDocument/2006/relationships/hyperlink" Target="https://huggingface.co/datasets/SFHQ" TargetMode="External"/><Relationship Id="rId41" Type="http://schemas.openxmlformats.org/officeDocument/2006/relationships/hyperlink" Target="https://app.gazebosim.org/GoogleResearch/fuel/collections/Scanned%20Objects%20by%20Google%20Research" TargetMode="External"/><Relationship Id="rId54" Type="http://schemas.openxmlformats.org/officeDocument/2006/relationships/hyperlink" Target="https://huggingface.co/datasets/SFHQ" TargetMode="External"/><Relationship Id="rId62" Type="http://schemas.openxmlformats.org/officeDocument/2006/relationships/hyperlink" Target="https://sites.google.com/view/loveucvpr23/track4" TargetMode="External"/><Relationship Id="rId70" Type="http://schemas.openxmlformats.org/officeDocument/2006/relationships/hyperlink" Target="https://medlineplus.gov/" TargetMode="External"/><Relationship Id="rId75" Type="http://schemas.openxmlformats.org/officeDocument/2006/relationships/hyperlink" Target="https://github.com/rwsproat/text-normalization-data" TargetMode="External"/><Relationship Id="rId83" Type="http://schemas.openxmlformats.org/officeDocument/2006/relationships/hyperlink" Target="https://github.com/rwsproat/text-normalization-data" TargetMode="External"/><Relationship Id="rId88" Type="http://schemas.openxmlformats.org/officeDocument/2006/relationships/hyperlink" Target="https://www.openslr.org/17/" TargetMode="External"/><Relationship Id="rId91" Type="http://schemas.openxmlformats.org/officeDocument/2006/relationships/hyperlink" Target="https://huggingface.co/datasets/ai4bharat/indicvoices_r" TargetMode="External"/><Relationship Id="rId96" Type="http://schemas.openxmlformats.org/officeDocument/2006/relationships/hyperlink" Target="https://huggingface.co/datasets/google/fleurs" TargetMode="External"/><Relationship Id="rId1" Type="http://schemas.openxmlformats.org/officeDocument/2006/relationships/hyperlink" Target="https://huggingface.co/datasets/stepfun-ai/GEdit-Bench" TargetMode="External"/><Relationship Id="rId6" Type="http://schemas.openxmlformats.org/officeDocument/2006/relationships/hyperlink" Target="https://huggingface.co/datasets/stepfun-ai/GEdit-Bench" TargetMode="External"/><Relationship Id="rId15" Type="http://schemas.openxmlformats.org/officeDocument/2006/relationships/hyperlink" Target="https://app.gazebosim.org/GoogleResearch/fuel/collections/Scanned%20Objects%20by%20Google%20Research" TargetMode="External"/><Relationship Id="rId23" Type="http://schemas.openxmlformats.org/officeDocument/2006/relationships/hyperlink" Target="https://huggingface.co/datasets/SFHQ" TargetMode="External"/><Relationship Id="rId28" Type="http://schemas.openxmlformats.org/officeDocument/2006/relationships/hyperlink" Target="https://www.pexels.com/" TargetMode="External"/><Relationship Id="rId36" Type="http://schemas.openxmlformats.org/officeDocument/2006/relationships/hyperlink" Target="https://www.pexels.com/" TargetMode="External"/><Relationship Id="rId49" Type="http://schemas.openxmlformats.org/officeDocument/2006/relationships/hyperlink" Target="https://github.com/Vchitect/VBench" TargetMode="External"/><Relationship Id="rId57" Type="http://schemas.openxmlformats.org/officeDocument/2006/relationships/hyperlink" Target="https://www.pexels.com/videos" TargetMode="External"/><Relationship Id="rId10" Type="http://schemas.openxmlformats.org/officeDocument/2006/relationships/hyperlink" Target="https://app.gazebosim.org/GoogleResearch/fuel/collections/Scanned%20Objects%20by%20Google%20Research" TargetMode="External"/><Relationship Id="rId31" Type="http://schemas.openxmlformats.org/officeDocument/2006/relationships/hyperlink" Target="https://www.pexels.com/" TargetMode="External"/><Relationship Id="rId44" Type="http://schemas.openxmlformats.org/officeDocument/2006/relationships/hyperlink" Target="https://github.com/MRzzm/HDTF" TargetMode="External"/><Relationship Id="rId52" Type="http://schemas.openxmlformats.org/officeDocument/2006/relationships/hyperlink" Target="https://app.gazebosim.org/GoogleResearch/fuel/collections/Scanned%20Objects%20by%20Google%20Research" TargetMode="External"/><Relationship Id="rId60" Type="http://schemas.openxmlformats.org/officeDocument/2006/relationships/hyperlink" Target="https://sites.google.com/view/loveucvpr23/track4" TargetMode="External"/><Relationship Id="rId65" Type="http://schemas.openxmlformats.org/officeDocument/2006/relationships/hyperlink" Target="https://www.pexels.com/videos" TargetMode="External"/><Relationship Id="rId73" Type="http://schemas.openxmlformats.org/officeDocument/2006/relationships/hyperlink" Target="https://www.openslr.org/141/" TargetMode="External"/><Relationship Id="rId78" Type="http://schemas.openxmlformats.org/officeDocument/2006/relationships/hyperlink" Target="https://www.openslr.org/17/" TargetMode="External"/><Relationship Id="rId81" Type="http://schemas.openxmlformats.org/officeDocument/2006/relationships/hyperlink" Target="https://github.com/rwsproat/text-normalization-data" TargetMode="External"/><Relationship Id="rId86" Type="http://schemas.openxmlformats.org/officeDocument/2006/relationships/hyperlink" Target="https://github.com/rwsproat/text-normalization-data" TargetMode="External"/><Relationship Id="rId94" Type="http://schemas.openxmlformats.org/officeDocument/2006/relationships/hyperlink" Target="https://huggingface.co/datasets/google/fleurs" TargetMode="External"/><Relationship Id="rId99" Type="http://schemas.openxmlformats.org/officeDocument/2006/relationships/hyperlink" Target="https://huggingface.co/datasets/google/fleurs" TargetMode="External"/><Relationship Id="rId4" Type="http://schemas.openxmlformats.org/officeDocument/2006/relationships/hyperlink" Target="https://huggingface.co/datasets/stepfun-ai/GEdit-Bench" TargetMode="External"/><Relationship Id="rId9" Type="http://schemas.openxmlformats.org/officeDocument/2006/relationships/hyperlink" Target="https://huggingface.co/datasets/stepfun-ai/GEdit-Bench" TargetMode="External"/><Relationship Id="rId13" Type="http://schemas.openxmlformats.org/officeDocument/2006/relationships/hyperlink" Target="https://app.gazebosim.org/GoogleResearch/fuel/collections/Scanned%20Objects%20by%20Google%20Research" TargetMode="External"/><Relationship Id="rId18" Type="http://schemas.openxmlformats.org/officeDocument/2006/relationships/hyperlink" Target="https://huggingface.co/datasets/SFHQ" TargetMode="External"/><Relationship Id="rId39" Type="http://schemas.openxmlformats.org/officeDocument/2006/relationships/hyperlink" Target="https://app.gazebosim.org/GoogleResearch/fuel/collections/Scanned%20Objects%20by%20Google%20Research" TargetMode="External"/><Relationship Id="rId34" Type="http://schemas.openxmlformats.org/officeDocument/2006/relationships/hyperlink" Target="https://huggingface.co/datasets/SFHQ" TargetMode="External"/><Relationship Id="rId50" Type="http://schemas.openxmlformats.org/officeDocument/2006/relationships/hyperlink" Target="https://github.com/Vchitect/VBench" TargetMode="External"/><Relationship Id="rId55" Type="http://schemas.openxmlformats.org/officeDocument/2006/relationships/hyperlink" Target="https://www.pexels.com/" TargetMode="External"/><Relationship Id="rId76" Type="http://schemas.openxmlformats.org/officeDocument/2006/relationships/hyperlink" Target="https://www.openslr.org/17/" TargetMode="External"/><Relationship Id="rId97" Type="http://schemas.openxmlformats.org/officeDocument/2006/relationships/hyperlink" Target="https://huggingface.co/datasets/ai4bharat/indicvoices_r" TargetMode="External"/><Relationship Id="rId7" Type="http://schemas.openxmlformats.org/officeDocument/2006/relationships/hyperlink" Target="https://www.pexels.com/" TargetMode="External"/><Relationship Id="rId71" Type="http://schemas.openxmlformats.org/officeDocument/2006/relationships/hyperlink" Target="https://www.gutenberg.org/" TargetMode="External"/><Relationship Id="rId92" Type="http://schemas.openxmlformats.org/officeDocument/2006/relationships/hyperlink" Target="https://commonvoice.mozilla.org/en/datasets" TargetMode="External"/><Relationship Id="rId2" Type="http://schemas.openxmlformats.org/officeDocument/2006/relationships/hyperlink" Target="https://huggingface.co/datasets/osunlp/MagicBrush" TargetMode="External"/><Relationship Id="rId29" Type="http://schemas.openxmlformats.org/officeDocument/2006/relationships/hyperlink" Target="https://www.pexels.com/" TargetMode="External"/><Relationship Id="rId24" Type="http://schemas.openxmlformats.org/officeDocument/2006/relationships/hyperlink" Target="https://huggingface.co/datasets/SFHQ" TargetMode="External"/><Relationship Id="rId40" Type="http://schemas.openxmlformats.org/officeDocument/2006/relationships/hyperlink" Target="https://app.gazebosim.org/GoogleResearch/fuel/collections/Scanned%20Objects%20by%20Google%20Research" TargetMode="External"/><Relationship Id="rId45" Type="http://schemas.openxmlformats.org/officeDocument/2006/relationships/hyperlink" Target="https://github.com/MRzzm/HDTF" TargetMode="External"/><Relationship Id="rId66" Type="http://schemas.openxmlformats.org/officeDocument/2006/relationships/hyperlink" Target="https://sites.google.com/view/loveucvpr23/track4" TargetMode="External"/><Relationship Id="rId87" Type="http://schemas.openxmlformats.org/officeDocument/2006/relationships/hyperlink" Target="https://github.com/rwsproat/text-normalization-data" TargetMode="External"/><Relationship Id="rId61" Type="http://schemas.openxmlformats.org/officeDocument/2006/relationships/hyperlink" Target="https://arxiv.org/abs/2503.17641" TargetMode="External"/><Relationship Id="rId82" Type="http://schemas.openxmlformats.org/officeDocument/2006/relationships/hyperlink" Target="https://github.com/rwsproat/text-normalization-data" TargetMode="External"/><Relationship Id="rId19" Type="http://schemas.openxmlformats.org/officeDocument/2006/relationships/hyperlink" Target="https://huggingface.co/datasets/SFHQ" TargetMode="External"/><Relationship Id="rId14" Type="http://schemas.openxmlformats.org/officeDocument/2006/relationships/hyperlink" Target="https://app.gazebosim.org/GoogleResearch/fuel/collections/Scanned%20Objects%20by%20Google%20Research" TargetMode="External"/><Relationship Id="rId30" Type="http://schemas.openxmlformats.org/officeDocument/2006/relationships/hyperlink" Target="https://www.pexels.com/" TargetMode="External"/><Relationship Id="rId35" Type="http://schemas.openxmlformats.org/officeDocument/2006/relationships/hyperlink" Target="https://www.pexels.com/" TargetMode="External"/><Relationship Id="rId56" Type="http://schemas.openxmlformats.org/officeDocument/2006/relationships/hyperlink" Target="https://github.com/Vchitect/VBench" TargetMode="External"/><Relationship Id="rId77" Type="http://schemas.openxmlformats.org/officeDocument/2006/relationships/hyperlink" Target="https://huggingface.co/datasets/multi_woz_v22" TargetMode="External"/><Relationship Id="rId8" Type="http://schemas.openxmlformats.org/officeDocument/2006/relationships/hyperlink" Target="https://huggingface.co/datasets/SFHQ" TargetMode="External"/><Relationship Id="rId51" Type="http://schemas.openxmlformats.org/officeDocument/2006/relationships/hyperlink" Target="https://huggingface.co/datasets/SFHQ" TargetMode="External"/><Relationship Id="rId72" Type="http://schemas.openxmlformats.org/officeDocument/2006/relationships/hyperlink" Target="https://www.gutenberg.org/" TargetMode="External"/><Relationship Id="rId93" Type="http://schemas.openxmlformats.org/officeDocument/2006/relationships/hyperlink" Target="https://huggingface.co/datasets/ai4bharat/indicvoices_r" TargetMode="External"/><Relationship Id="rId98" Type="http://schemas.openxmlformats.org/officeDocument/2006/relationships/hyperlink" Target="https://huggingface.co/datasets/google/fleur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rxiv.org/abs/2510.06927" TargetMode="External"/><Relationship Id="rId3" Type="http://schemas.openxmlformats.org/officeDocument/2006/relationships/hyperlink" Target="https://arxiv.org/abs/2503.21755" TargetMode="External"/><Relationship Id="rId7" Type="http://schemas.openxmlformats.org/officeDocument/2006/relationships/hyperlink" Target="https://www.itu.int/rec/T-REC-P.808" TargetMode="External"/><Relationship Id="rId12" Type="http://schemas.openxmlformats.org/officeDocument/2006/relationships/hyperlink" Target="https://arxiv.org/abs/2605.12724" TargetMode="External"/><Relationship Id="rId2" Type="http://schemas.openxmlformats.org/officeDocument/2006/relationships/hyperlink" Target="https://arxiv.org/abs/2504.13360" TargetMode="External"/><Relationship Id="rId1" Type="http://schemas.openxmlformats.org/officeDocument/2006/relationships/hyperlink" Target="https://arxiv.org/abs/2505.20275" TargetMode="External"/><Relationship Id="rId6" Type="http://schemas.openxmlformats.org/officeDocument/2006/relationships/hyperlink" Target="https://arxiv.org/abs/2512.09299" TargetMode="External"/><Relationship Id="rId11" Type="http://schemas.openxmlformats.org/officeDocument/2006/relationships/hyperlink" Target="https://arxiv.org/abs/2510.06927" TargetMode="External"/><Relationship Id="rId5" Type="http://schemas.openxmlformats.org/officeDocument/2006/relationships/hyperlink" Target="https://arxiv.org/abs/2606.05665" TargetMode="External"/><Relationship Id="rId10" Type="http://schemas.openxmlformats.org/officeDocument/2006/relationships/hyperlink" Target="https://hamming.ai/resources/voice-agent-evaluation-metrics-guide" TargetMode="External"/><Relationship Id="rId4" Type="http://schemas.openxmlformats.org/officeDocument/2006/relationships/hyperlink" Target="https://github.com/Vchitect/VBench" TargetMode="External"/><Relationship Id="rId9" Type="http://schemas.openxmlformats.org/officeDocument/2006/relationships/hyperlink" Target="https://arxiv.org/abs/2510.069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showGridLines="0" zoomScaleNormal="100" workbookViewId="0"/>
  </sheetViews>
  <sheetFormatPr defaultColWidth="8.7109375" defaultRowHeight="15"/>
  <cols>
    <col min="1" max="1" width="132" customWidth="1"/>
  </cols>
  <sheetData>
    <row r="1" spans="1:1" ht="18" customHeight="1">
      <c r="A1" s="1" t="s">
        <v>0</v>
      </c>
    </row>
    <row r="2" spans="1:1" ht="23.25" customHeight="1">
      <c r="A2" s="2" t="s">
        <v>1</v>
      </c>
    </row>
    <row r="3" spans="1:1" ht="15" customHeight="1">
      <c r="A3" s="3"/>
    </row>
    <row r="4" spans="1:1" ht="15" customHeight="1">
      <c r="A4" s="4" t="s">
        <v>2</v>
      </c>
    </row>
    <row r="5" spans="1:1" ht="15" customHeight="1">
      <c r="A5" s="3"/>
    </row>
    <row r="6" spans="1:1" ht="15" customHeight="1">
      <c r="A6" s="5" t="s">
        <v>3</v>
      </c>
    </row>
    <row r="7" spans="1:1" ht="34.5" customHeight="1">
      <c r="A7" s="3" t="s">
        <v>4</v>
      </c>
    </row>
    <row r="8" spans="1:1" ht="15" customHeight="1">
      <c r="A8" s="3"/>
    </row>
    <row r="9" spans="1:1" ht="15" customHeight="1">
      <c r="A9" s="5" t="s">
        <v>5</v>
      </c>
    </row>
    <row r="10" spans="1:1" ht="23.25" customHeight="1">
      <c r="A10" s="3" t="s">
        <v>6</v>
      </c>
    </row>
    <row r="11" spans="1:1" ht="15" customHeight="1">
      <c r="A11" s="3"/>
    </row>
    <row r="12" spans="1:1" ht="15" customHeight="1">
      <c r="A12" s="5" t="s">
        <v>7</v>
      </c>
    </row>
    <row r="13" spans="1:1" ht="23.25" customHeight="1">
      <c r="A13" s="3" t="s">
        <v>8</v>
      </c>
    </row>
    <row r="14" spans="1:1" ht="15" customHeight="1">
      <c r="A14" s="3"/>
    </row>
    <row r="15" spans="1:1" ht="15" customHeight="1">
      <c r="A15" s="5" t="s">
        <v>9</v>
      </c>
    </row>
    <row r="16" spans="1:1" ht="23.25" customHeight="1">
      <c r="A16" s="3" t="s">
        <v>10</v>
      </c>
    </row>
    <row r="17" spans="1:1" ht="15" customHeight="1">
      <c r="A17" s="3"/>
    </row>
    <row r="18" spans="1:1" ht="15" customHeight="1">
      <c r="A18" s="5" t="s">
        <v>11</v>
      </c>
    </row>
    <row r="19" spans="1:1" ht="23.25" customHeight="1">
      <c r="A19" s="3" t="s">
        <v>12</v>
      </c>
    </row>
    <row r="20" spans="1:1" ht="15" customHeight="1">
      <c r="A20" s="3"/>
    </row>
    <row r="21" spans="1:1" ht="15" customHeight="1">
      <c r="A21" s="5" t="s">
        <v>13</v>
      </c>
    </row>
    <row r="22" spans="1:1" ht="34.5" customHeight="1">
      <c r="A22" s="3" t="s">
        <v>14</v>
      </c>
    </row>
    <row r="23" spans="1:1" ht="15" customHeight="1">
      <c r="A23" s="3"/>
    </row>
    <row r="24" spans="1:1" ht="15" customHeight="1">
      <c r="A24" s="4" t="s">
        <v>15</v>
      </c>
    </row>
    <row r="25" spans="1:1" ht="23.25" customHeight="1">
      <c r="A25" s="3" t="s">
        <v>16</v>
      </c>
    </row>
    <row r="26" spans="1:1" ht="15" customHeight="1">
      <c r="A26" s="3"/>
    </row>
    <row r="27" spans="1:1" ht="15" customHeight="1">
      <c r="A27" s="3" t="s">
        <v>17</v>
      </c>
    </row>
    <row r="28" spans="1:1" ht="15" customHeight="1">
      <c r="A28" s="3" t="s">
        <v>18</v>
      </c>
    </row>
    <row r="29" spans="1:1" ht="15" customHeight="1">
      <c r="A29" s="3" t="s">
        <v>19</v>
      </c>
    </row>
    <row r="30" spans="1:1" ht="15" customHeight="1">
      <c r="A30" s="3" t="s">
        <v>20</v>
      </c>
    </row>
    <row r="31" spans="1:1" ht="15" customHeight="1">
      <c r="A31" s="3" t="s">
        <v>21</v>
      </c>
    </row>
    <row r="32" spans="1:1" ht="15" customHeight="1">
      <c r="A32" s="3"/>
    </row>
    <row r="33" spans="1:1" ht="15" customHeight="1">
      <c r="A33" s="4" t="s">
        <v>22</v>
      </c>
    </row>
    <row r="34" spans="1:1" ht="34.5" customHeight="1">
      <c r="A34" s="3" t="s">
        <v>23</v>
      </c>
    </row>
    <row r="35" spans="1:1" ht="15" customHeight="1">
      <c r="A35" s="3"/>
    </row>
    <row r="36" spans="1:1" ht="15" customHeight="1">
      <c r="A36" s="4" t="s">
        <v>24</v>
      </c>
    </row>
    <row r="37" spans="1:1" ht="23.25" customHeight="1">
      <c r="A37" s="3" t="s">
        <v>25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184"/>
  <sheetViews>
    <sheetView showGridLines="0" tabSelected="1" zoomScaleNormal="100" workbookViewId="0">
      <pane ySplit="4" topLeftCell="A165" activePane="bottomLeft" state="frozen"/>
      <selection pane="bottomLeft" activeCell="B181" sqref="B181"/>
    </sheetView>
  </sheetViews>
  <sheetFormatPr defaultColWidth="8.7109375" defaultRowHeight="15"/>
  <cols>
    <col min="1" max="1" width="13" customWidth="1"/>
    <col min="2" max="2" width="10" customWidth="1"/>
    <col min="3" max="3" width="28" customWidth="1"/>
    <col min="4" max="4" width="34" customWidth="1"/>
    <col min="5" max="5" width="26" customWidth="1"/>
    <col min="6" max="6" width="40" customWidth="1"/>
  </cols>
  <sheetData>
    <row r="1" spans="1:6" ht="18.600000000000001">
      <c r="A1" s="6" t="s">
        <v>26</v>
      </c>
    </row>
    <row r="2" spans="1:6">
      <c r="A2" s="7" t="s">
        <v>27</v>
      </c>
    </row>
    <row r="4" spans="1:6" ht="30" customHeight="1">
      <c r="A4" s="8" t="s">
        <v>28</v>
      </c>
      <c r="B4" s="8" t="s">
        <v>29</v>
      </c>
      <c r="C4" s="8" t="s">
        <v>30</v>
      </c>
      <c r="D4" s="8" t="s">
        <v>31</v>
      </c>
      <c r="E4" s="8" t="s">
        <v>32</v>
      </c>
      <c r="F4" s="8" t="s">
        <v>33</v>
      </c>
    </row>
    <row r="5" spans="1:6" ht="27.75" hidden="1" customHeight="1">
      <c r="A5" s="9" t="s">
        <v>34</v>
      </c>
      <c r="B5" s="10" t="s">
        <v>35</v>
      </c>
      <c r="C5" s="11" t="s">
        <v>36</v>
      </c>
      <c r="D5" s="11" t="s">
        <v>37</v>
      </c>
      <c r="E5" s="12" t="s">
        <v>38</v>
      </c>
      <c r="F5" s="11" t="s">
        <v>39</v>
      </c>
    </row>
    <row r="6" spans="1:6" ht="27.75" hidden="1" customHeight="1">
      <c r="A6" s="9" t="s">
        <v>40</v>
      </c>
      <c r="B6" s="10" t="s">
        <v>35</v>
      </c>
      <c r="C6" s="11" t="s">
        <v>36</v>
      </c>
      <c r="D6" s="11" t="s">
        <v>41</v>
      </c>
      <c r="E6" s="12" t="s">
        <v>38</v>
      </c>
      <c r="F6" s="11" t="s">
        <v>39</v>
      </c>
    </row>
    <row r="7" spans="1:6" ht="27.75" hidden="1" customHeight="1">
      <c r="A7" s="9" t="s">
        <v>42</v>
      </c>
      <c r="B7" s="10" t="s">
        <v>35</v>
      </c>
      <c r="C7" s="11" t="s">
        <v>36</v>
      </c>
      <c r="D7" s="11" t="s">
        <v>43</v>
      </c>
      <c r="E7" s="12" t="s">
        <v>38</v>
      </c>
      <c r="F7" s="11" t="s">
        <v>39</v>
      </c>
    </row>
    <row r="8" spans="1:6" ht="27.75" hidden="1" customHeight="1">
      <c r="A8" s="9" t="s">
        <v>44</v>
      </c>
      <c r="B8" s="10" t="s">
        <v>35</v>
      </c>
      <c r="C8" s="11" t="s">
        <v>36</v>
      </c>
      <c r="D8" s="11" t="s">
        <v>45</v>
      </c>
      <c r="E8" s="12" t="s">
        <v>38</v>
      </c>
      <c r="F8" s="11" t="s">
        <v>39</v>
      </c>
    </row>
    <row r="9" spans="1:6" ht="27.75" hidden="1" customHeight="1">
      <c r="A9" s="9" t="s">
        <v>46</v>
      </c>
      <c r="B9" s="10" t="s">
        <v>35</v>
      </c>
      <c r="C9" s="11" t="s">
        <v>36</v>
      </c>
      <c r="D9" s="11" t="s">
        <v>47</v>
      </c>
      <c r="E9" s="12" t="s">
        <v>38</v>
      </c>
      <c r="F9" s="11" t="s">
        <v>39</v>
      </c>
    </row>
    <row r="10" spans="1:6" ht="27.75" hidden="1" customHeight="1">
      <c r="A10" s="9" t="s">
        <v>48</v>
      </c>
      <c r="B10" s="10" t="s">
        <v>35</v>
      </c>
      <c r="C10" s="11" t="s">
        <v>36</v>
      </c>
      <c r="D10" s="11" t="s">
        <v>49</v>
      </c>
      <c r="E10" s="12" t="s">
        <v>38</v>
      </c>
      <c r="F10" s="11" t="s">
        <v>39</v>
      </c>
    </row>
    <row r="11" spans="1:6" ht="27.75" hidden="1" customHeight="1">
      <c r="A11" s="9" t="s">
        <v>50</v>
      </c>
      <c r="B11" s="10" t="s">
        <v>35</v>
      </c>
      <c r="C11" s="11" t="s">
        <v>36</v>
      </c>
      <c r="D11" s="11" t="s">
        <v>51</v>
      </c>
      <c r="E11" s="12" t="s">
        <v>38</v>
      </c>
      <c r="F11" s="11" t="s">
        <v>39</v>
      </c>
    </row>
    <row r="12" spans="1:6" ht="27.75" hidden="1" customHeight="1">
      <c r="A12" s="9" t="s">
        <v>52</v>
      </c>
      <c r="B12" s="10" t="s">
        <v>35</v>
      </c>
      <c r="C12" s="11" t="s">
        <v>36</v>
      </c>
      <c r="D12" s="11" t="s">
        <v>53</v>
      </c>
      <c r="E12" s="12" t="s">
        <v>38</v>
      </c>
      <c r="F12" s="11" t="s">
        <v>39</v>
      </c>
    </row>
    <row r="13" spans="1:6" ht="27.75" hidden="1" customHeight="1">
      <c r="A13" s="9" t="s">
        <v>54</v>
      </c>
      <c r="B13" s="10" t="s">
        <v>35</v>
      </c>
      <c r="C13" s="11" t="s">
        <v>36</v>
      </c>
      <c r="D13" s="11" t="s">
        <v>55</v>
      </c>
      <c r="E13" s="12" t="s">
        <v>38</v>
      </c>
      <c r="F13" s="11" t="s">
        <v>39</v>
      </c>
    </row>
    <row r="14" spans="1:6" ht="27.75" hidden="1" customHeight="1">
      <c r="A14" s="9" t="s">
        <v>56</v>
      </c>
      <c r="B14" s="10" t="s">
        <v>35</v>
      </c>
      <c r="C14" s="11" t="s">
        <v>36</v>
      </c>
      <c r="D14" s="11" t="s">
        <v>57</v>
      </c>
      <c r="E14" s="12" t="s">
        <v>38</v>
      </c>
      <c r="F14" s="11" t="s">
        <v>39</v>
      </c>
    </row>
    <row r="15" spans="1:6" ht="27.75" hidden="1" customHeight="1">
      <c r="A15" s="9" t="s">
        <v>58</v>
      </c>
      <c r="B15" s="10" t="s">
        <v>35</v>
      </c>
      <c r="C15" s="11" t="s">
        <v>59</v>
      </c>
      <c r="D15" s="11" t="s">
        <v>60</v>
      </c>
      <c r="E15" s="13" t="s">
        <v>39</v>
      </c>
      <c r="F15" s="11" t="s">
        <v>61</v>
      </c>
    </row>
    <row r="16" spans="1:6" ht="27.75" hidden="1" customHeight="1">
      <c r="A16" s="9" t="s">
        <v>62</v>
      </c>
      <c r="B16" s="10" t="s">
        <v>35</v>
      </c>
      <c r="C16" s="11" t="s">
        <v>59</v>
      </c>
      <c r="D16" s="11" t="s">
        <v>63</v>
      </c>
      <c r="E16" s="12" t="s">
        <v>38</v>
      </c>
      <c r="F16" s="11" t="s">
        <v>39</v>
      </c>
    </row>
    <row r="17" spans="1:6" ht="27.75" hidden="1" customHeight="1">
      <c r="A17" s="9" t="s">
        <v>64</v>
      </c>
      <c r="B17" s="10" t="s">
        <v>35</v>
      </c>
      <c r="C17" s="11" t="s">
        <v>59</v>
      </c>
      <c r="D17" s="11" t="s">
        <v>65</v>
      </c>
      <c r="E17" s="13" t="s">
        <v>39</v>
      </c>
      <c r="F17" s="11" t="s">
        <v>66</v>
      </c>
    </row>
    <row r="18" spans="1:6" ht="27.75" hidden="1" customHeight="1">
      <c r="A18" s="9" t="s">
        <v>67</v>
      </c>
      <c r="B18" s="10" t="s">
        <v>35</v>
      </c>
      <c r="C18" s="11" t="s">
        <v>59</v>
      </c>
      <c r="D18" s="11" t="s">
        <v>68</v>
      </c>
      <c r="E18" s="13" t="s">
        <v>39</v>
      </c>
      <c r="F18" s="11" t="s">
        <v>61</v>
      </c>
    </row>
    <row r="19" spans="1:6" ht="27.75" hidden="1" customHeight="1">
      <c r="A19" s="9" t="s">
        <v>69</v>
      </c>
      <c r="B19" s="10" t="s">
        <v>35</v>
      </c>
      <c r="C19" s="11" t="s">
        <v>59</v>
      </c>
      <c r="D19" s="11" t="s">
        <v>70</v>
      </c>
      <c r="E19" s="13" t="s">
        <v>39</v>
      </c>
      <c r="F19" s="11" t="s">
        <v>61</v>
      </c>
    </row>
    <row r="20" spans="1:6" ht="27.75" hidden="1" customHeight="1">
      <c r="A20" s="9" t="s">
        <v>71</v>
      </c>
      <c r="B20" s="10" t="s">
        <v>35</v>
      </c>
      <c r="C20" s="11" t="s">
        <v>59</v>
      </c>
      <c r="D20" s="11" t="s">
        <v>72</v>
      </c>
      <c r="E20" s="13" t="s">
        <v>39</v>
      </c>
      <c r="F20" s="11" t="s">
        <v>61</v>
      </c>
    </row>
    <row r="21" spans="1:6" ht="27.75" hidden="1" customHeight="1">
      <c r="A21" s="9" t="s">
        <v>73</v>
      </c>
      <c r="B21" s="10" t="s">
        <v>35</v>
      </c>
      <c r="C21" s="11" t="s">
        <v>59</v>
      </c>
      <c r="D21" s="11" t="s">
        <v>74</v>
      </c>
      <c r="E21" s="13" t="s">
        <v>39</v>
      </c>
      <c r="F21" s="11" t="s">
        <v>61</v>
      </c>
    </row>
    <row r="22" spans="1:6" ht="27.75" hidden="1" customHeight="1">
      <c r="A22" s="9" t="s">
        <v>75</v>
      </c>
      <c r="B22" s="10" t="s">
        <v>35</v>
      </c>
      <c r="C22" s="11" t="s">
        <v>59</v>
      </c>
      <c r="D22" s="11" t="s">
        <v>76</v>
      </c>
      <c r="E22" s="13" t="s">
        <v>39</v>
      </c>
      <c r="F22" s="11" t="s">
        <v>61</v>
      </c>
    </row>
    <row r="23" spans="1:6" ht="27.75" hidden="1" customHeight="1">
      <c r="A23" s="9" t="s">
        <v>77</v>
      </c>
      <c r="B23" s="10" t="s">
        <v>35</v>
      </c>
      <c r="C23" s="11" t="s">
        <v>59</v>
      </c>
      <c r="D23" s="11" t="s">
        <v>78</v>
      </c>
      <c r="E23" s="13" t="s">
        <v>39</v>
      </c>
      <c r="F23" s="11" t="s">
        <v>61</v>
      </c>
    </row>
    <row r="24" spans="1:6" ht="27.75" hidden="1" customHeight="1">
      <c r="A24" s="9" t="s">
        <v>79</v>
      </c>
      <c r="B24" s="10" t="s">
        <v>35</v>
      </c>
      <c r="C24" s="11" t="s">
        <v>59</v>
      </c>
      <c r="D24" s="11" t="s">
        <v>80</v>
      </c>
      <c r="E24" s="13" t="s">
        <v>39</v>
      </c>
      <c r="F24" s="11" t="s">
        <v>61</v>
      </c>
    </row>
    <row r="25" spans="1:6" ht="27.75" hidden="1" customHeight="1">
      <c r="A25" s="9" t="s">
        <v>81</v>
      </c>
      <c r="B25" s="10" t="s">
        <v>35</v>
      </c>
      <c r="C25" s="11" t="s">
        <v>82</v>
      </c>
      <c r="D25" s="11" t="s">
        <v>83</v>
      </c>
      <c r="E25" s="12" t="s">
        <v>38</v>
      </c>
      <c r="F25" s="11" t="s">
        <v>39</v>
      </c>
    </row>
    <row r="26" spans="1:6" ht="27.75" hidden="1" customHeight="1">
      <c r="A26" s="9" t="s">
        <v>84</v>
      </c>
      <c r="B26" s="10" t="s">
        <v>35</v>
      </c>
      <c r="C26" s="11" t="s">
        <v>82</v>
      </c>
      <c r="D26" s="11" t="s">
        <v>85</v>
      </c>
      <c r="E26" s="12" t="s">
        <v>38</v>
      </c>
      <c r="F26" s="11" t="s">
        <v>39</v>
      </c>
    </row>
    <row r="27" spans="1:6" ht="27.75" hidden="1" customHeight="1">
      <c r="A27" s="9" t="s">
        <v>86</v>
      </c>
      <c r="B27" s="10" t="s">
        <v>35</v>
      </c>
      <c r="C27" s="11" t="s">
        <v>82</v>
      </c>
      <c r="D27" s="11" t="s">
        <v>87</v>
      </c>
      <c r="E27" s="12" t="s">
        <v>38</v>
      </c>
      <c r="F27" s="11" t="s">
        <v>39</v>
      </c>
    </row>
    <row r="28" spans="1:6" ht="27.75" hidden="1" customHeight="1">
      <c r="A28" s="9" t="s">
        <v>88</v>
      </c>
      <c r="B28" s="10" t="s">
        <v>35</v>
      </c>
      <c r="C28" s="11" t="s">
        <v>82</v>
      </c>
      <c r="D28" s="11" t="s">
        <v>89</v>
      </c>
      <c r="E28" s="12" t="s">
        <v>38</v>
      </c>
      <c r="F28" s="11" t="s">
        <v>39</v>
      </c>
    </row>
    <row r="29" spans="1:6" ht="27.75" hidden="1" customHeight="1">
      <c r="A29" s="9" t="s">
        <v>90</v>
      </c>
      <c r="B29" s="10" t="s">
        <v>35</v>
      </c>
      <c r="C29" s="11" t="s">
        <v>82</v>
      </c>
      <c r="D29" s="11" t="s">
        <v>91</v>
      </c>
      <c r="E29" s="12" t="s">
        <v>38</v>
      </c>
      <c r="F29" s="11" t="s">
        <v>39</v>
      </c>
    </row>
    <row r="30" spans="1:6" ht="27.75" hidden="1" customHeight="1">
      <c r="A30" s="9" t="s">
        <v>92</v>
      </c>
      <c r="B30" s="10" t="s">
        <v>35</v>
      </c>
      <c r="C30" s="11" t="s">
        <v>82</v>
      </c>
      <c r="D30" s="11" t="s">
        <v>93</v>
      </c>
      <c r="E30" s="12" t="s">
        <v>38</v>
      </c>
      <c r="F30" s="11" t="s">
        <v>39</v>
      </c>
    </row>
    <row r="31" spans="1:6" ht="27.75" hidden="1" customHeight="1">
      <c r="A31" s="9" t="s">
        <v>94</v>
      </c>
      <c r="B31" s="10" t="s">
        <v>35</v>
      </c>
      <c r="C31" s="11" t="s">
        <v>82</v>
      </c>
      <c r="D31" s="11" t="s">
        <v>95</v>
      </c>
      <c r="E31" s="12" t="s">
        <v>38</v>
      </c>
      <c r="F31" s="11" t="s">
        <v>39</v>
      </c>
    </row>
    <row r="32" spans="1:6" ht="27.75" hidden="1" customHeight="1">
      <c r="A32" s="9" t="s">
        <v>96</v>
      </c>
      <c r="B32" s="10" t="s">
        <v>35</v>
      </c>
      <c r="C32" s="11" t="s">
        <v>82</v>
      </c>
      <c r="D32" s="11" t="s">
        <v>97</v>
      </c>
      <c r="E32" s="12" t="s">
        <v>38</v>
      </c>
      <c r="F32" s="11" t="s">
        <v>39</v>
      </c>
    </row>
    <row r="33" spans="1:6" ht="27.75" hidden="1" customHeight="1">
      <c r="A33" s="9" t="s">
        <v>98</v>
      </c>
      <c r="B33" s="10" t="s">
        <v>35</v>
      </c>
      <c r="C33" s="11" t="s">
        <v>82</v>
      </c>
      <c r="D33" s="11" t="s">
        <v>99</v>
      </c>
      <c r="E33" s="12" t="s">
        <v>38</v>
      </c>
      <c r="F33" s="11" t="s">
        <v>39</v>
      </c>
    </row>
    <row r="34" spans="1:6" ht="27.75" hidden="1" customHeight="1">
      <c r="A34" s="9" t="s">
        <v>100</v>
      </c>
      <c r="B34" s="10" t="s">
        <v>35</v>
      </c>
      <c r="C34" s="11" t="s">
        <v>82</v>
      </c>
      <c r="D34" s="11" t="s">
        <v>101</v>
      </c>
      <c r="E34" s="12" t="s">
        <v>38</v>
      </c>
      <c r="F34" s="11" t="s">
        <v>39</v>
      </c>
    </row>
    <row r="35" spans="1:6" ht="27.75" hidden="1" customHeight="1">
      <c r="A35" s="9" t="s">
        <v>102</v>
      </c>
      <c r="B35" s="10" t="s">
        <v>35</v>
      </c>
      <c r="C35" s="11" t="s">
        <v>103</v>
      </c>
      <c r="D35" s="11" t="s">
        <v>104</v>
      </c>
      <c r="E35" s="14" t="s">
        <v>105</v>
      </c>
      <c r="F35" s="11" t="s">
        <v>106</v>
      </c>
    </row>
    <row r="36" spans="1:6" ht="27.75" hidden="1" customHeight="1">
      <c r="A36" s="9" t="s">
        <v>107</v>
      </c>
      <c r="B36" s="10" t="s">
        <v>35</v>
      </c>
      <c r="C36" s="11" t="s">
        <v>103</v>
      </c>
      <c r="D36" s="11" t="s">
        <v>108</v>
      </c>
      <c r="E36" s="14" t="s">
        <v>105</v>
      </c>
      <c r="F36" s="11" t="s">
        <v>106</v>
      </c>
    </row>
    <row r="37" spans="1:6" ht="27.75" hidden="1" customHeight="1">
      <c r="A37" s="9" t="s">
        <v>109</v>
      </c>
      <c r="B37" s="10" t="s">
        <v>35</v>
      </c>
      <c r="C37" s="11" t="s">
        <v>103</v>
      </c>
      <c r="D37" s="11" t="s">
        <v>110</v>
      </c>
      <c r="E37" s="14" t="s">
        <v>105</v>
      </c>
      <c r="F37" s="11" t="s">
        <v>106</v>
      </c>
    </row>
    <row r="38" spans="1:6" ht="27.75" hidden="1" customHeight="1">
      <c r="A38" s="9" t="s">
        <v>111</v>
      </c>
      <c r="B38" s="10" t="s">
        <v>35</v>
      </c>
      <c r="C38" s="11" t="s">
        <v>103</v>
      </c>
      <c r="D38" s="11" t="s">
        <v>112</v>
      </c>
      <c r="E38" s="14" t="s">
        <v>105</v>
      </c>
      <c r="F38" s="11" t="s">
        <v>106</v>
      </c>
    </row>
    <row r="39" spans="1:6" ht="27.75" hidden="1" customHeight="1">
      <c r="A39" s="9" t="s">
        <v>113</v>
      </c>
      <c r="B39" s="10" t="s">
        <v>35</v>
      </c>
      <c r="C39" s="11" t="s">
        <v>103</v>
      </c>
      <c r="D39" s="11" t="s">
        <v>114</v>
      </c>
      <c r="E39" s="14" t="s">
        <v>105</v>
      </c>
      <c r="F39" s="11" t="s">
        <v>106</v>
      </c>
    </row>
    <row r="40" spans="1:6" ht="27.75" hidden="1" customHeight="1">
      <c r="A40" s="9" t="s">
        <v>115</v>
      </c>
      <c r="B40" s="10" t="s">
        <v>35</v>
      </c>
      <c r="C40" s="11" t="s">
        <v>103</v>
      </c>
      <c r="D40" s="11" t="s">
        <v>116</v>
      </c>
      <c r="E40" s="14" t="s">
        <v>105</v>
      </c>
      <c r="F40" s="11" t="s">
        <v>106</v>
      </c>
    </row>
    <row r="41" spans="1:6" ht="27.75" hidden="1" customHeight="1">
      <c r="A41" s="9" t="s">
        <v>117</v>
      </c>
      <c r="B41" s="10" t="s">
        <v>35</v>
      </c>
      <c r="C41" s="11" t="s">
        <v>103</v>
      </c>
      <c r="D41" s="11" t="s">
        <v>118</v>
      </c>
      <c r="E41" s="14" t="s">
        <v>105</v>
      </c>
      <c r="F41" s="11" t="s">
        <v>106</v>
      </c>
    </row>
    <row r="42" spans="1:6" ht="27.75" hidden="1" customHeight="1">
      <c r="A42" s="9" t="s">
        <v>119</v>
      </c>
      <c r="B42" s="10" t="s">
        <v>35</v>
      </c>
      <c r="C42" s="11" t="s">
        <v>103</v>
      </c>
      <c r="D42" s="11" t="s">
        <v>120</v>
      </c>
      <c r="E42" s="14" t="s">
        <v>105</v>
      </c>
      <c r="F42" s="11" t="s">
        <v>106</v>
      </c>
    </row>
    <row r="43" spans="1:6" ht="27.75" hidden="1" customHeight="1">
      <c r="A43" s="9" t="s">
        <v>121</v>
      </c>
      <c r="B43" s="10" t="s">
        <v>35</v>
      </c>
      <c r="C43" s="11" t="s">
        <v>103</v>
      </c>
      <c r="D43" s="11" t="s">
        <v>122</v>
      </c>
      <c r="E43" s="14" t="s">
        <v>105</v>
      </c>
      <c r="F43" s="11" t="s">
        <v>106</v>
      </c>
    </row>
    <row r="44" spans="1:6" ht="27.75" hidden="1" customHeight="1">
      <c r="A44" s="9" t="s">
        <v>123</v>
      </c>
      <c r="B44" s="10" t="s">
        <v>35</v>
      </c>
      <c r="C44" s="11" t="s">
        <v>103</v>
      </c>
      <c r="D44" s="11" t="s">
        <v>124</v>
      </c>
      <c r="E44" s="15" t="s">
        <v>125</v>
      </c>
      <c r="F44" s="11" t="s">
        <v>105</v>
      </c>
    </row>
    <row r="45" spans="1:6" ht="27.75" hidden="1" customHeight="1">
      <c r="A45" s="9" t="s">
        <v>126</v>
      </c>
      <c r="B45" s="10" t="s">
        <v>35</v>
      </c>
      <c r="C45" s="11" t="s">
        <v>127</v>
      </c>
      <c r="D45" s="11" t="s">
        <v>128</v>
      </c>
      <c r="E45" s="15" t="s">
        <v>125</v>
      </c>
      <c r="F45" s="11" t="s">
        <v>38</v>
      </c>
    </row>
    <row r="46" spans="1:6" ht="27.75" hidden="1" customHeight="1">
      <c r="A46" s="9" t="s">
        <v>129</v>
      </c>
      <c r="B46" s="10" t="s">
        <v>35</v>
      </c>
      <c r="C46" s="11" t="s">
        <v>127</v>
      </c>
      <c r="D46" s="11" t="s">
        <v>130</v>
      </c>
      <c r="E46" s="15" t="s">
        <v>125</v>
      </c>
      <c r="F46" s="11" t="s">
        <v>38</v>
      </c>
    </row>
    <row r="47" spans="1:6" ht="27.75" hidden="1" customHeight="1">
      <c r="A47" s="9" t="s">
        <v>131</v>
      </c>
      <c r="B47" s="10" t="s">
        <v>35</v>
      </c>
      <c r="C47" s="11" t="s">
        <v>127</v>
      </c>
      <c r="D47" s="11" t="s">
        <v>132</v>
      </c>
      <c r="E47" s="15" t="s">
        <v>125</v>
      </c>
      <c r="F47" s="11" t="s">
        <v>38</v>
      </c>
    </row>
    <row r="48" spans="1:6" ht="27.75" hidden="1" customHeight="1">
      <c r="A48" s="9" t="s">
        <v>133</v>
      </c>
      <c r="B48" s="10" t="s">
        <v>35</v>
      </c>
      <c r="C48" s="11" t="s">
        <v>127</v>
      </c>
      <c r="D48" s="11" t="s">
        <v>134</v>
      </c>
      <c r="E48" s="15" t="s">
        <v>125</v>
      </c>
      <c r="F48" s="11" t="s">
        <v>38</v>
      </c>
    </row>
    <row r="49" spans="1:6" ht="27.75" hidden="1" customHeight="1">
      <c r="A49" s="9" t="s">
        <v>135</v>
      </c>
      <c r="B49" s="10" t="s">
        <v>35</v>
      </c>
      <c r="C49" s="11" t="s">
        <v>127</v>
      </c>
      <c r="D49" s="11" t="s">
        <v>136</v>
      </c>
      <c r="E49" s="15" t="s">
        <v>125</v>
      </c>
      <c r="F49" s="11" t="s">
        <v>38</v>
      </c>
    </row>
    <row r="50" spans="1:6" ht="27.75" hidden="1" customHeight="1">
      <c r="A50" s="9" t="s">
        <v>137</v>
      </c>
      <c r="B50" s="10" t="s">
        <v>35</v>
      </c>
      <c r="C50" s="11" t="s">
        <v>127</v>
      </c>
      <c r="D50" s="11" t="s">
        <v>138</v>
      </c>
      <c r="E50" s="15" t="s">
        <v>125</v>
      </c>
      <c r="F50" s="11" t="s">
        <v>38</v>
      </c>
    </row>
    <row r="51" spans="1:6" ht="27.75" hidden="1" customHeight="1">
      <c r="A51" s="9" t="s">
        <v>139</v>
      </c>
      <c r="B51" s="10" t="s">
        <v>35</v>
      </c>
      <c r="C51" s="11" t="s">
        <v>127</v>
      </c>
      <c r="D51" s="11" t="s">
        <v>140</v>
      </c>
      <c r="E51" s="15" t="s">
        <v>125</v>
      </c>
      <c r="F51" s="11" t="s">
        <v>38</v>
      </c>
    </row>
    <row r="52" spans="1:6" ht="27.75" hidden="1" customHeight="1">
      <c r="A52" s="9" t="s">
        <v>141</v>
      </c>
      <c r="B52" s="10" t="s">
        <v>35</v>
      </c>
      <c r="C52" s="11" t="s">
        <v>127</v>
      </c>
      <c r="D52" s="11" t="s">
        <v>142</v>
      </c>
      <c r="E52" s="15" t="s">
        <v>125</v>
      </c>
      <c r="F52" s="11" t="s">
        <v>38</v>
      </c>
    </row>
    <row r="53" spans="1:6" ht="27.75" hidden="1" customHeight="1">
      <c r="A53" s="9" t="s">
        <v>143</v>
      </c>
      <c r="B53" s="10" t="s">
        <v>35</v>
      </c>
      <c r="C53" s="11" t="s">
        <v>127</v>
      </c>
      <c r="D53" s="11" t="s">
        <v>144</v>
      </c>
      <c r="E53" s="13" t="s">
        <v>39</v>
      </c>
      <c r="F53" s="11" t="s">
        <v>38</v>
      </c>
    </row>
    <row r="54" spans="1:6" ht="27.75" hidden="1" customHeight="1">
      <c r="A54" s="9" t="s">
        <v>145</v>
      </c>
      <c r="B54" s="10" t="s">
        <v>35</v>
      </c>
      <c r="C54" s="11" t="s">
        <v>127</v>
      </c>
      <c r="D54" s="11" t="s">
        <v>146</v>
      </c>
      <c r="E54" s="13" t="s">
        <v>39</v>
      </c>
      <c r="F54" s="11" t="s">
        <v>66</v>
      </c>
    </row>
    <row r="55" spans="1:6" ht="27.75" hidden="1" customHeight="1">
      <c r="A55" s="9" t="s">
        <v>147</v>
      </c>
      <c r="B55" s="10" t="s">
        <v>35</v>
      </c>
      <c r="C55" s="11" t="s">
        <v>148</v>
      </c>
      <c r="D55" s="11" t="s">
        <v>149</v>
      </c>
      <c r="E55" s="15" t="s">
        <v>125</v>
      </c>
      <c r="F55" s="11" t="s">
        <v>150</v>
      </c>
    </row>
    <row r="56" spans="1:6" ht="27.75" hidden="1" customHeight="1">
      <c r="A56" s="9" t="s">
        <v>151</v>
      </c>
      <c r="B56" s="10" t="s">
        <v>35</v>
      </c>
      <c r="C56" s="11" t="s">
        <v>148</v>
      </c>
      <c r="D56" s="11" t="s">
        <v>152</v>
      </c>
      <c r="E56" s="15" t="s">
        <v>125</v>
      </c>
      <c r="F56" s="11" t="s">
        <v>150</v>
      </c>
    </row>
    <row r="57" spans="1:6" ht="27.75" hidden="1" customHeight="1">
      <c r="A57" s="9" t="s">
        <v>153</v>
      </c>
      <c r="B57" s="10" t="s">
        <v>35</v>
      </c>
      <c r="C57" s="11" t="s">
        <v>148</v>
      </c>
      <c r="D57" s="11" t="s">
        <v>154</v>
      </c>
      <c r="E57" s="15" t="s">
        <v>125</v>
      </c>
      <c r="F57" s="11" t="s">
        <v>150</v>
      </c>
    </row>
    <row r="58" spans="1:6" ht="27.75" hidden="1" customHeight="1">
      <c r="A58" s="9" t="s">
        <v>155</v>
      </c>
      <c r="B58" s="10" t="s">
        <v>35</v>
      </c>
      <c r="C58" s="11" t="s">
        <v>148</v>
      </c>
      <c r="D58" s="11" t="s">
        <v>156</v>
      </c>
      <c r="E58" s="15" t="s">
        <v>125</v>
      </c>
      <c r="F58" s="11" t="s">
        <v>150</v>
      </c>
    </row>
    <row r="59" spans="1:6" ht="27.75" hidden="1" customHeight="1">
      <c r="A59" s="9" t="s">
        <v>157</v>
      </c>
      <c r="B59" s="10" t="s">
        <v>35</v>
      </c>
      <c r="C59" s="11" t="s">
        <v>148</v>
      </c>
      <c r="D59" s="11" t="s">
        <v>158</v>
      </c>
      <c r="E59" s="15" t="s">
        <v>125</v>
      </c>
      <c r="F59" s="11" t="s">
        <v>150</v>
      </c>
    </row>
    <row r="60" spans="1:6" ht="27.75" hidden="1" customHeight="1">
      <c r="A60" s="9" t="s">
        <v>159</v>
      </c>
      <c r="B60" s="10" t="s">
        <v>35</v>
      </c>
      <c r="C60" s="11" t="s">
        <v>148</v>
      </c>
      <c r="D60" s="11" t="s">
        <v>160</v>
      </c>
      <c r="E60" s="15" t="s">
        <v>125</v>
      </c>
      <c r="F60" s="11" t="s">
        <v>150</v>
      </c>
    </row>
    <row r="61" spans="1:6" ht="27.75" hidden="1" customHeight="1">
      <c r="A61" s="9" t="s">
        <v>161</v>
      </c>
      <c r="B61" s="10" t="s">
        <v>35</v>
      </c>
      <c r="C61" s="11" t="s">
        <v>148</v>
      </c>
      <c r="D61" s="11" t="s">
        <v>162</v>
      </c>
      <c r="E61" s="15" t="s">
        <v>125</v>
      </c>
      <c r="F61" s="11" t="s">
        <v>150</v>
      </c>
    </row>
    <row r="62" spans="1:6" ht="27.75" hidden="1" customHeight="1">
      <c r="A62" s="9" t="s">
        <v>163</v>
      </c>
      <c r="B62" s="10" t="s">
        <v>35</v>
      </c>
      <c r="C62" s="11" t="s">
        <v>148</v>
      </c>
      <c r="D62" s="11" t="s">
        <v>164</v>
      </c>
      <c r="E62" s="15" t="s">
        <v>125</v>
      </c>
      <c r="F62" s="11" t="s">
        <v>150</v>
      </c>
    </row>
    <row r="63" spans="1:6" ht="27.75" hidden="1" customHeight="1">
      <c r="A63" s="9" t="s">
        <v>165</v>
      </c>
      <c r="B63" s="10" t="s">
        <v>35</v>
      </c>
      <c r="C63" s="11" t="s">
        <v>148</v>
      </c>
      <c r="D63" s="11" t="s">
        <v>166</v>
      </c>
      <c r="E63" s="15" t="s">
        <v>125</v>
      </c>
      <c r="F63" s="11" t="s">
        <v>150</v>
      </c>
    </row>
    <row r="64" spans="1:6" ht="27.75" hidden="1" customHeight="1">
      <c r="A64" s="9" t="s">
        <v>167</v>
      </c>
      <c r="B64" s="10" t="s">
        <v>35</v>
      </c>
      <c r="C64" s="11" t="s">
        <v>148</v>
      </c>
      <c r="D64" s="11" t="s">
        <v>168</v>
      </c>
      <c r="E64" s="15" t="s">
        <v>125</v>
      </c>
      <c r="F64" s="11" t="s">
        <v>150</v>
      </c>
    </row>
    <row r="65" spans="1:6" ht="27.75" hidden="1" customHeight="1">
      <c r="A65" s="9" t="s">
        <v>169</v>
      </c>
      <c r="B65" s="16" t="s">
        <v>170</v>
      </c>
      <c r="C65" s="11" t="s">
        <v>171</v>
      </c>
      <c r="D65" s="11" t="s">
        <v>172</v>
      </c>
      <c r="E65" s="14" t="s">
        <v>105</v>
      </c>
      <c r="F65" s="11" t="s">
        <v>173</v>
      </c>
    </row>
    <row r="66" spans="1:6" ht="27.75" hidden="1" customHeight="1">
      <c r="A66" s="9" t="s">
        <v>174</v>
      </c>
      <c r="B66" s="16" t="s">
        <v>170</v>
      </c>
      <c r="C66" s="11" t="s">
        <v>171</v>
      </c>
      <c r="D66" s="11" t="s">
        <v>175</v>
      </c>
      <c r="E66" s="14" t="s">
        <v>105</v>
      </c>
      <c r="F66" s="11" t="s">
        <v>173</v>
      </c>
    </row>
    <row r="67" spans="1:6" ht="27.75" hidden="1" customHeight="1">
      <c r="A67" s="9" t="s">
        <v>176</v>
      </c>
      <c r="B67" s="16" t="s">
        <v>170</v>
      </c>
      <c r="C67" s="11" t="s">
        <v>171</v>
      </c>
      <c r="D67" s="11" t="s">
        <v>177</v>
      </c>
      <c r="E67" s="14" t="s">
        <v>105</v>
      </c>
      <c r="F67" s="11" t="s">
        <v>173</v>
      </c>
    </row>
    <row r="68" spans="1:6" ht="27.75" hidden="1" customHeight="1">
      <c r="A68" s="9" t="s">
        <v>178</v>
      </c>
      <c r="B68" s="16" t="s">
        <v>170</v>
      </c>
      <c r="C68" s="11" t="s">
        <v>171</v>
      </c>
      <c r="D68" s="11" t="s">
        <v>179</v>
      </c>
      <c r="E68" s="14" t="s">
        <v>105</v>
      </c>
      <c r="F68" s="11" t="s">
        <v>173</v>
      </c>
    </row>
    <row r="69" spans="1:6" ht="27.75" hidden="1" customHeight="1">
      <c r="A69" s="9" t="s">
        <v>180</v>
      </c>
      <c r="B69" s="16" t="s">
        <v>170</v>
      </c>
      <c r="C69" s="11" t="s">
        <v>171</v>
      </c>
      <c r="D69" s="11" t="s">
        <v>181</v>
      </c>
      <c r="E69" s="14" t="s">
        <v>105</v>
      </c>
      <c r="F69" s="11" t="s">
        <v>173</v>
      </c>
    </row>
    <row r="70" spans="1:6" ht="27.75" hidden="1" customHeight="1">
      <c r="A70" s="9" t="s">
        <v>182</v>
      </c>
      <c r="B70" s="16" t="s">
        <v>170</v>
      </c>
      <c r="C70" s="11" t="s">
        <v>171</v>
      </c>
      <c r="D70" s="11" t="s">
        <v>183</v>
      </c>
      <c r="E70" s="14" t="s">
        <v>105</v>
      </c>
      <c r="F70" s="11" t="s">
        <v>173</v>
      </c>
    </row>
    <row r="71" spans="1:6" ht="27.75" hidden="1" customHeight="1">
      <c r="A71" s="9" t="s">
        <v>184</v>
      </c>
      <c r="B71" s="16" t="s">
        <v>170</v>
      </c>
      <c r="C71" s="11" t="s">
        <v>171</v>
      </c>
      <c r="D71" s="11" t="s">
        <v>185</v>
      </c>
      <c r="E71" s="14" t="s">
        <v>105</v>
      </c>
      <c r="F71" s="11" t="s">
        <v>173</v>
      </c>
    </row>
    <row r="72" spans="1:6" ht="27.75" hidden="1" customHeight="1">
      <c r="A72" s="9" t="s">
        <v>186</v>
      </c>
      <c r="B72" s="16" t="s">
        <v>170</v>
      </c>
      <c r="C72" s="11" t="s">
        <v>171</v>
      </c>
      <c r="D72" s="11" t="s">
        <v>187</v>
      </c>
      <c r="E72" s="14" t="s">
        <v>105</v>
      </c>
      <c r="F72" s="11" t="s">
        <v>173</v>
      </c>
    </row>
    <row r="73" spans="1:6" ht="27.75" hidden="1" customHeight="1">
      <c r="A73" s="9" t="s">
        <v>188</v>
      </c>
      <c r="B73" s="16" t="s">
        <v>170</v>
      </c>
      <c r="C73" s="11" t="s">
        <v>171</v>
      </c>
      <c r="D73" s="11" t="s">
        <v>189</v>
      </c>
      <c r="E73" s="14" t="s">
        <v>105</v>
      </c>
      <c r="F73" s="11" t="s">
        <v>173</v>
      </c>
    </row>
    <row r="74" spans="1:6" ht="27.75" hidden="1" customHeight="1">
      <c r="A74" s="9" t="s">
        <v>190</v>
      </c>
      <c r="B74" s="16" t="s">
        <v>170</v>
      </c>
      <c r="C74" s="11" t="s">
        <v>171</v>
      </c>
      <c r="D74" s="11" t="s">
        <v>191</v>
      </c>
      <c r="E74" s="14" t="s">
        <v>105</v>
      </c>
      <c r="F74" s="11" t="s">
        <v>173</v>
      </c>
    </row>
    <row r="75" spans="1:6" ht="27.75" hidden="1" customHeight="1">
      <c r="A75" s="9" t="s">
        <v>192</v>
      </c>
      <c r="B75" s="16" t="s">
        <v>170</v>
      </c>
      <c r="C75" s="11" t="s">
        <v>193</v>
      </c>
      <c r="D75" s="11" t="s">
        <v>194</v>
      </c>
      <c r="E75" s="13" t="s">
        <v>39</v>
      </c>
      <c r="F75" s="11" t="s">
        <v>38</v>
      </c>
    </row>
    <row r="76" spans="1:6" ht="27.75" hidden="1" customHeight="1">
      <c r="A76" s="9" t="s">
        <v>195</v>
      </c>
      <c r="B76" s="16" t="s">
        <v>170</v>
      </c>
      <c r="C76" s="11" t="s">
        <v>193</v>
      </c>
      <c r="D76" s="11" t="s">
        <v>196</v>
      </c>
      <c r="E76" s="13" t="s">
        <v>39</v>
      </c>
      <c r="F76" s="11" t="s">
        <v>38</v>
      </c>
    </row>
    <row r="77" spans="1:6" ht="27.75" hidden="1" customHeight="1">
      <c r="A77" s="9" t="s">
        <v>197</v>
      </c>
      <c r="B77" s="16" t="s">
        <v>170</v>
      </c>
      <c r="C77" s="11" t="s">
        <v>193</v>
      </c>
      <c r="D77" s="11" t="s">
        <v>198</v>
      </c>
      <c r="E77" s="13" t="s">
        <v>39</v>
      </c>
      <c r="F77" s="11" t="s">
        <v>38</v>
      </c>
    </row>
    <row r="78" spans="1:6" ht="27.75" hidden="1" customHeight="1">
      <c r="A78" s="9" t="s">
        <v>199</v>
      </c>
      <c r="B78" s="16" t="s">
        <v>170</v>
      </c>
      <c r="C78" s="11" t="s">
        <v>193</v>
      </c>
      <c r="D78" s="11" t="s">
        <v>200</v>
      </c>
      <c r="E78" s="13" t="s">
        <v>39</v>
      </c>
      <c r="F78" s="11" t="s">
        <v>38</v>
      </c>
    </row>
    <row r="79" spans="1:6" ht="27.75" hidden="1" customHeight="1">
      <c r="A79" s="9" t="s">
        <v>201</v>
      </c>
      <c r="B79" s="16" t="s">
        <v>170</v>
      </c>
      <c r="C79" s="11" t="s">
        <v>193</v>
      </c>
      <c r="D79" s="11" t="s">
        <v>202</v>
      </c>
      <c r="E79" s="13" t="s">
        <v>39</v>
      </c>
      <c r="F79" s="11" t="s">
        <v>38</v>
      </c>
    </row>
    <row r="80" spans="1:6" ht="27.75" hidden="1" customHeight="1">
      <c r="A80" s="9" t="s">
        <v>203</v>
      </c>
      <c r="B80" s="16" t="s">
        <v>170</v>
      </c>
      <c r="C80" s="11" t="s">
        <v>193</v>
      </c>
      <c r="D80" s="11" t="s">
        <v>204</v>
      </c>
      <c r="E80" s="13" t="s">
        <v>39</v>
      </c>
      <c r="F80" s="11" t="s">
        <v>38</v>
      </c>
    </row>
    <row r="81" spans="1:6" ht="27.75" hidden="1" customHeight="1">
      <c r="A81" s="9" t="s">
        <v>205</v>
      </c>
      <c r="B81" s="16" t="s">
        <v>170</v>
      </c>
      <c r="C81" s="11" t="s">
        <v>193</v>
      </c>
      <c r="D81" s="11" t="s">
        <v>206</v>
      </c>
      <c r="E81" s="13" t="s">
        <v>39</v>
      </c>
      <c r="F81" s="11" t="s">
        <v>38</v>
      </c>
    </row>
    <row r="82" spans="1:6" ht="27.75" hidden="1" customHeight="1">
      <c r="A82" s="9" t="s">
        <v>207</v>
      </c>
      <c r="B82" s="16" t="s">
        <v>170</v>
      </c>
      <c r="C82" s="11" t="s">
        <v>193</v>
      </c>
      <c r="D82" s="11" t="s">
        <v>208</v>
      </c>
      <c r="E82" s="13" t="s">
        <v>39</v>
      </c>
      <c r="F82" s="11" t="s">
        <v>38</v>
      </c>
    </row>
    <row r="83" spans="1:6" ht="27.75" hidden="1" customHeight="1">
      <c r="A83" s="9" t="s">
        <v>209</v>
      </c>
      <c r="B83" s="16" t="s">
        <v>170</v>
      </c>
      <c r="C83" s="11" t="s">
        <v>193</v>
      </c>
      <c r="D83" s="11" t="s">
        <v>210</v>
      </c>
      <c r="E83" s="13" t="s">
        <v>39</v>
      </c>
      <c r="F83" s="11" t="s">
        <v>38</v>
      </c>
    </row>
    <row r="84" spans="1:6" ht="27.75" hidden="1" customHeight="1">
      <c r="A84" s="9" t="s">
        <v>211</v>
      </c>
      <c r="B84" s="16" t="s">
        <v>170</v>
      </c>
      <c r="C84" s="11" t="s">
        <v>193</v>
      </c>
      <c r="D84" s="11" t="s">
        <v>212</v>
      </c>
      <c r="E84" s="13" t="s">
        <v>39</v>
      </c>
      <c r="F84" s="11" t="s">
        <v>38</v>
      </c>
    </row>
    <row r="85" spans="1:6" ht="27.75" hidden="1" customHeight="1">
      <c r="A85" s="9" t="s">
        <v>213</v>
      </c>
      <c r="B85" s="16" t="s">
        <v>170</v>
      </c>
      <c r="C85" s="11" t="s">
        <v>214</v>
      </c>
      <c r="D85" s="11" t="s">
        <v>215</v>
      </c>
      <c r="E85" s="14" t="s">
        <v>105</v>
      </c>
      <c r="F85" s="11" t="s">
        <v>216</v>
      </c>
    </row>
    <row r="86" spans="1:6" ht="27.75" hidden="1" customHeight="1">
      <c r="A86" s="9" t="s">
        <v>217</v>
      </c>
      <c r="B86" s="16" t="s">
        <v>170</v>
      </c>
      <c r="C86" s="11" t="s">
        <v>214</v>
      </c>
      <c r="D86" s="11" t="s">
        <v>218</v>
      </c>
      <c r="E86" s="14" t="s">
        <v>105</v>
      </c>
      <c r="F86" s="11" t="s">
        <v>216</v>
      </c>
    </row>
    <row r="87" spans="1:6" ht="27.75" hidden="1" customHeight="1">
      <c r="A87" s="9" t="s">
        <v>219</v>
      </c>
      <c r="B87" s="16" t="s">
        <v>170</v>
      </c>
      <c r="C87" s="11" t="s">
        <v>214</v>
      </c>
      <c r="D87" s="11" t="s">
        <v>220</v>
      </c>
      <c r="E87" s="14" t="s">
        <v>105</v>
      </c>
      <c r="F87" s="11" t="s">
        <v>216</v>
      </c>
    </row>
    <row r="88" spans="1:6" ht="27.75" hidden="1" customHeight="1">
      <c r="A88" s="9" t="s">
        <v>221</v>
      </c>
      <c r="B88" s="16" t="s">
        <v>170</v>
      </c>
      <c r="C88" s="11" t="s">
        <v>214</v>
      </c>
      <c r="D88" s="11" t="s">
        <v>222</v>
      </c>
      <c r="E88" s="14" t="s">
        <v>105</v>
      </c>
      <c r="F88" s="11" t="s">
        <v>216</v>
      </c>
    </row>
    <row r="89" spans="1:6" ht="27.75" hidden="1" customHeight="1">
      <c r="A89" s="9" t="s">
        <v>223</v>
      </c>
      <c r="B89" s="16" t="s">
        <v>170</v>
      </c>
      <c r="C89" s="11" t="s">
        <v>214</v>
      </c>
      <c r="D89" s="11" t="s">
        <v>224</v>
      </c>
      <c r="E89" s="14" t="s">
        <v>105</v>
      </c>
      <c r="F89" s="11" t="s">
        <v>216</v>
      </c>
    </row>
    <row r="90" spans="1:6" ht="27.75" hidden="1" customHeight="1">
      <c r="A90" s="9" t="s">
        <v>225</v>
      </c>
      <c r="B90" s="16" t="s">
        <v>170</v>
      </c>
      <c r="C90" s="11" t="s">
        <v>214</v>
      </c>
      <c r="D90" s="11" t="s">
        <v>226</v>
      </c>
      <c r="E90" s="14" t="s">
        <v>105</v>
      </c>
      <c r="F90" s="11" t="s">
        <v>216</v>
      </c>
    </row>
    <row r="91" spans="1:6" ht="27.75" hidden="1" customHeight="1">
      <c r="A91" s="9" t="s">
        <v>227</v>
      </c>
      <c r="B91" s="16" t="s">
        <v>170</v>
      </c>
      <c r="C91" s="11" t="s">
        <v>214</v>
      </c>
      <c r="D91" s="11" t="s">
        <v>228</v>
      </c>
      <c r="E91" s="14" t="s">
        <v>105</v>
      </c>
      <c r="F91" s="11" t="s">
        <v>216</v>
      </c>
    </row>
    <row r="92" spans="1:6" ht="27.75" hidden="1" customHeight="1">
      <c r="A92" s="9" t="s">
        <v>229</v>
      </c>
      <c r="B92" s="16" t="s">
        <v>170</v>
      </c>
      <c r="C92" s="11" t="s">
        <v>214</v>
      </c>
      <c r="D92" s="11" t="s">
        <v>230</v>
      </c>
      <c r="E92" s="14" t="s">
        <v>105</v>
      </c>
      <c r="F92" s="11" t="s">
        <v>216</v>
      </c>
    </row>
    <row r="93" spans="1:6" ht="27.75" hidden="1" customHeight="1">
      <c r="A93" s="9" t="s">
        <v>231</v>
      </c>
      <c r="B93" s="16" t="s">
        <v>170</v>
      </c>
      <c r="C93" s="11" t="s">
        <v>214</v>
      </c>
      <c r="D93" s="11" t="s">
        <v>232</v>
      </c>
      <c r="E93" s="14" t="s">
        <v>105</v>
      </c>
      <c r="F93" s="11" t="s">
        <v>216</v>
      </c>
    </row>
    <row r="94" spans="1:6" ht="27.75" hidden="1" customHeight="1">
      <c r="A94" s="9" t="s">
        <v>233</v>
      </c>
      <c r="B94" s="16" t="s">
        <v>170</v>
      </c>
      <c r="C94" s="11" t="s">
        <v>214</v>
      </c>
      <c r="D94" s="11" t="s">
        <v>234</v>
      </c>
      <c r="E94" s="14" t="s">
        <v>105</v>
      </c>
      <c r="F94" s="11" t="s">
        <v>216</v>
      </c>
    </row>
    <row r="95" spans="1:6" ht="27.75" hidden="1" customHeight="1">
      <c r="A95" s="9" t="s">
        <v>235</v>
      </c>
      <c r="B95" s="16" t="s">
        <v>170</v>
      </c>
      <c r="C95" s="11" t="s">
        <v>236</v>
      </c>
      <c r="D95" s="11" t="s">
        <v>237</v>
      </c>
      <c r="E95" s="13" t="s">
        <v>39</v>
      </c>
      <c r="F95" s="11" t="s">
        <v>238</v>
      </c>
    </row>
    <row r="96" spans="1:6" ht="27.75" hidden="1" customHeight="1">
      <c r="A96" s="9" t="s">
        <v>239</v>
      </c>
      <c r="B96" s="16" t="s">
        <v>170</v>
      </c>
      <c r="C96" s="11" t="s">
        <v>236</v>
      </c>
      <c r="D96" s="11" t="s">
        <v>240</v>
      </c>
      <c r="E96" s="13" t="s">
        <v>39</v>
      </c>
      <c r="F96" s="11" t="s">
        <v>238</v>
      </c>
    </row>
    <row r="97" spans="1:6" ht="27.75" hidden="1" customHeight="1">
      <c r="A97" s="9" t="s">
        <v>241</v>
      </c>
      <c r="B97" s="16" t="s">
        <v>170</v>
      </c>
      <c r="C97" s="11" t="s">
        <v>236</v>
      </c>
      <c r="D97" s="11" t="s">
        <v>242</v>
      </c>
      <c r="E97" s="13" t="s">
        <v>39</v>
      </c>
      <c r="F97" s="11" t="s">
        <v>238</v>
      </c>
    </row>
    <row r="98" spans="1:6" ht="27.75" hidden="1" customHeight="1">
      <c r="A98" s="9" t="s">
        <v>243</v>
      </c>
      <c r="B98" s="16" t="s">
        <v>170</v>
      </c>
      <c r="C98" s="11" t="s">
        <v>236</v>
      </c>
      <c r="D98" s="11" t="s">
        <v>244</v>
      </c>
      <c r="E98" s="13" t="s">
        <v>39</v>
      </c>
      <c r="F98" s="11" t="s">
        <v>238</v>
      </c>
    </row>
    <row r="99" spans="1:6" ht="27.75" hidden="1" customHeight="1">
      <c r="A99" s="9" t="s">
        <v>245</v>
      </c>
      <c r="B99" s="16" t="s">
        <v>170</v>
      </c>
      <c r="C99" s="11" t="s">
        <v>236</v>
      </c>
      <c r="D99" s="11" t="s">
        <v>246</v>
      </c>
      <c r="E99" s="13" t="s">
        <v>39</v>
      </c>
      <c r="F99" s="11" t="s">
        <v>238</v>
      </c>
    </row>
    <row r="100" spans="1:6" ht="27.75" hidden="1" customHeight="1">
      <c r="A100" s="9" t="s">
        <v>247</v>
      </c>
      <c r="B100" s="16" t="s">
        <v>170</v>
      </c>
      <c r="C100" s="11" t="s">
        <v>236</v>
      </c>
      <c r="D100" s="11" t="s">
        <v>248</v>
      </c>
      <c r="E100" s="13" t="s">
        <v>39</v>
      </c>
      <c r="F100" s="11" t="s">
        <v>238</v>
      </c>
    </row>
    <row r="101" spans="1:6" ht="27.75" hidden="1" customHeight="1">
      <c r="A101" s="9" t="s">
        <v>249</v>
      </c>
      <c r="B101" s="16" t="s">
        <v>170</v>
      </c>
      <c r="C101" s="11" t="s">
        <v>236</v>
      </c>
      <c r="D101" s="11" t="s">
        <v>250</v>
      </c>
      <c r="E101" s="13" t="s">
        <v>39</v>
      </c>
      <c r="F101" s="11" t="s">
        <v>238</v>
      </c>
    </row>
    <row r="102" spans="1:6" ht="27.75" hidden="1" customHeight="1">
      <c r="A102" s="9" t="s">
        <v>251</v>
      </c>
      <c r="B102" s="16" t="s">
        <v>170</v>
      </c>
      <c r="C102" s="11" t="s">
        <v>236</v>
      </c>
      <c r="D102" s="11" t="s">
        <v>252</v>
      </c>
      <c r="E102" s="13" t="s">
        <v>39</v>
      </c>
      <c r="F102" s="11" t="s">
        <v>238</v>
      </c>
    </row>
    <row r="103" spans="1:6" ht="27.75" hidden="1" customHeight="1">
      <c r="A103" s="9" t="s">
        <v>253</v>
      </c>
      <c r="B103" s="16" t="s">
        <v>170</v>
      </c>
      <c r="C103" s="11" t="s">
        <v>236</v>
      </c>
      <c r="D103" s="11" t="s">
        <v>254</v>
      </c>
      <c r="E103" s="13" t="s">
        <v>39</v>
      </c>
      <c r="F103" s="11" t="s">
        <v>238</v>
      </c>
    </row>
    <row r="104" spans="1:6" ht="27.75" hidden="1" customHeight="1">
      <c r="A104" s="9" t="s">
        <v>255</v>
      </c>
      <c r="B104" s="16" t="s">
        <v>170</v>
      </c>
      <c r="C104" s="11" t="s">
        <v>236</v>
      </c>
      <c r="D104" s="11" t="s">
        <v>256</v>
      </c>
      <c r="E104" s="13" t="s">
        <v>39</v>
      </c>
      <c r="F104" s="11" t="s">
        <v>238</v>
      </c>
    </row>
    <row r="105" spans="1:6" ht="27.75" hidden="1" customHeight="1">
      <c r="A105" s="9" t="s">
        <v>257</v>
      </c>
      <c r="B105" s="16" t="s">
        <v>170</v>
      </c>
      <c r="C105" s="11" t="s">
        <v>258</v>
      </c>
      <c r="D105" s="11" t="s">
        <v>259</v>
      </c>
      <c r="E105" s="13" t="s">
        <v>39</v>
      </c>
      <c r="F105" s="11" t="s">
        <v>105</v>
      </c>
    </row>
    <row r="106" spans="1:6" ht="27.75" hidden="1" customHeight="1">
      <c r="A106" s="9" t="s">
        <v>260</v>
      </c>
      <c r="B106" s="16" t="s">
        <v>170</v>
      </c>
      <c r="C106" s="11" t="s">
        <v>258</v>
      </c>
      <c r="D106" s="11" t="s">
        <v>261</v>
      </c>
      <c r="E106" s="13" t="s">
        <v>39</v>
      </c>
      <c r="F106" s="11" t="s">
        <v>105</v>
      </c>
    </row>
    <row r="107" spans="1:6" ht="27.75" hidden="1" customHeight="1">
      <c r="A107" s="9" t="s">
        <v>262</v>
      </c>
      <c r="B107" s="16" t="s">
        <v>170</v>
      </c>
      <c r="C107" s="11" t="s">
        <v>258</v>
      </c>
      <c r="D107" s="11" t="s">
        <v>263</v>
      </c>
      <c r="E107" s="13" t="s">
        <v>39</v>
      </c>
      <c r="F107" s="11" t="s">
        <v>105</v>
      </c>
    </row>
    <row r="108" spans="1:6" ht="27.75" hidden="1" customHeight="1">
      <c r="A108" s="9" t="s">
        <v>264</v>
      </c>
      <c r="B108" s="16" t="s">
        <v>170</v>
      </c>
      <c r="C108" s="11" t="s">
        <v>258</v>
      </c>
      <c r="D108" s="11" t="s">
        <v>265</v>
      </c>
      <c r="E108" s="13" t="s">
        <v>39</v>
      </c>
      <c r="F108" s="11" t="s">
        <v>105</v>
      </c>
    </row>
    <row r="109" spans="1:6" ht="27.75" hidden="1" customHeight="1">
      <c r="A109" s="9" t="s">
        <v>266</v>
      </c>
      <c r="B109" s="16" t="s">
        <v>170</v>
      </c>
      <c r="C109" s="11" t="s">
        <v>258</v>
      </c>
      <c r="D109" s="11" t="s">
        <v>267</v>
      </c>
      <c r="E109" s="13" t="s">
        <v>39</v>
      </c>
      <c r="F109" s="11" t="s">
        <v>105</v>
      </c>
    </row>
    <row r="110" spans="1:6" ht="27.75" hidden="1" customHeight="1">
      <c r="A110" s="9" t="s">
        <v>268</v>
      </c>
      <c r="B110" s="16" t="s">
        <v>170</v>
      </c>
      <c r="C110" s="11" t="s">
        <v>258</v>
      </c>
      <c r="D110" s="11" t="s">
        <v>269</v>
      </c>
      <c r="E110" s="13" t="s">
        <v>39</v>
      </c>
      <c r="F110" s="11" t="s">
        <v>105</v>
      </c>
    </row>
    <row r="111" spans="1:6" ht="27.75" hidden="1" customHeight="1">
      <c r="A111" s="9" t="s">
        <v>270</v>
      </c>
      <c r="B111" s="16" t="s">
        <v>170</v>
      </c>
      <c r="C111" s="11" t="s">
        <v>258</v>
      </c>
      <c r="D111" s="11" t="s">
        <v>271</v>
      </c>
      <c r="E111" s="13" t="s">
        <v>39</v>
      </c>
      <c r="F111" s="11" t="s">
        <v>105</v>
      </c>
    </row>
    <row r="112" spans="1:6" ht="27.75" hidden="1" customHeight="1">
      <c r="A112" s="9" t="s">
        <v>272</v>
      </c>
      <c r="B112" s="16" t="s">
        <v>170</v>
      </c>
      <c r="C112" s="11" t="s">
        <v>258</v>
      </c>
      <c r="D112" s="11" t="s">
        <v>273</v>
      </c>
      <c r="E112" s="13" t="s">
        <v>39</v>
      </c>
      <c r="F112" s="11" t="s">
        <v>105</v>
      </c>
    </row>
    <row r="113" spans="1:6" ht="27.75" hidden="1" customHeight="1">
      <c r="A113" s="9" t="s">
        <v>274</v>
      </c>
      <c r="B113" s="16" t="s">
        <v>170</v>
      </c>
      <c r="C113" s="11" t="s">
        <v>258</v>
      </c>
      <c r="D113" s="11" t="s">
        <v>275</v>
      </c>
      <c r="E113" s="13" t="s">
        <v>39</v>
      </c>
      <c r="F113" s="11" t="s">
        <v>105</v>
      </c>
    </row>
    <row r="114" spans="1:6" ht="27.75" hidden="1" customHeight="1">
      <c r="A114" s="9" t="s">
        <v>276</v>
      </c>
      <c r="B114" s="16" t="s">
        <v>170</v>
      </c>
      <c r="C114" s="11" t="s">
        <v>258</v>
      </c>
      <c r="D114" s="11" t="s">
        <v>277</v>
      </c>
      <c r="E114" s="13" t="s">
        <v>39</v>
      </c>
      <c r="F114" s="11" t="s">
        <v>105</v>
      </c>
    </row>
    <row r="115" spans="1:6" ht="27.75" hidden="1" customHeight="1">
      <c r="A115" s="9" t="s">
        <v>278</v>
      </c>
      <c r="B115" s="16" t="s">
        <v>170</v>
      </c>
      <c r="C115" s="11" t="s">
        <v>279</v>
      </c>
      <c r="D115" s="11" t="s">
        <v>280</v>
      </c>
      <c r="E115" s="15" t="s">
        <v>125</v>
      </c>
      <c r="F115" s="11" t="s">
        <v>150</v>
      </c>
    </row>
    <row r="116" spans="1:6" ht="27.75" hidden="1" customHeight="1">
      <c r="A116" s="9" t="s">
        <v>281</v>
      </c>
      <c r="B116" s="16" t="s">
        <v>170</v>
      </c>
      <c r="C116" s="11" t="s">
        <v>279</v>
      </c>
      <c r="D116" s="11" t="s">
        <v>282</v>
      </c>
      <c r="E116" s="15" t="s">
        <v>125</v>
      </c>
      <c r="F116" s="11" t="s">
        <v>150</v>
      </c>
    </row>
    <row r="117" spans="1:6" ht="27.75" hidden="1" customHeight="1">
      <c r="A117" s="9" t="s">
        <v>283</v>
      </c>
      <c r="B117" s="16" t="s">
        <v>170</v>
      </c>
      <c r="C117" s="11" t="s">
        <v>279</v>
      </c>
      <c r="D117" s="11" t="s">
        <v>284</v>
      </c>
      <c r="E117" s="15" t="s">
        <v>125</v>
      </c>
      <c r="F117" s="11" t="s">
        <v>150</v>
      </c>
    </row>
    <row r="118" spans="1:6" ht="27.75" hidden="1" customHeight="1">
      <c r="A118" s="9" t="s">
        <v>285</v>
      </c>
      <c r="B118" s="16" t="s">
        <v>170</v>
      </c>
      <c r="C118" s="11" t="s">
        <v>279</v>
      </c>
      <c r="D118" s="11" t="s">
        <v>286</v>
      </c>
      <c r="E118" s="15" t="s">
        <v>125</v>
      </c>
      <c r="F118" s="11" t="s">
        <v>150</v>
      </c>
    </row>
    <row r="119" spans="1:6" ht="27.75" hidden="1" customHeight="1">
      <c r="A119" s="9" t="s">
        <v>287</v>
      </c>
      <c r="B119" s="16" t="s">
        <v>170</v>
      </c>
      <c r="C119" s="11" t="s">
        <v>279</v>
      </c>
      <c r="D119" s="11" t="s">
        <v>288</v>
      </c>
      <c r="E119" s="15" t="s">
        <v>125</v>
      </c>
      <c r="F119" s="11" t="s">
        <v>150</v>
      </c>
    </row>
    <row r="120" spans="1:6" ht="27.75" hidden="1" customHeight="1">
      <c r="A120" s="9" t="s">
        <v>289</v>
      </c>
      <c r="B120" s="16" t="s">
        <v>170</v>
      </c>
      <c r="C120" s="11" t="s">
        <v>279</v>
      </c>
      <c r="D120" s="11" t="s">
        <v>290</v>
      </c>
      <c r="E120" s="15" t="s">
        <v>125</v>
      </c>
      <c r="F120" s="11" t="s">
        <v>150</v>
      </c>
    </row>
    <row r="121" spans="1:6" ht="27.75" hidden="1" customHeight="1">
      <c r="A121" s="9" t="s">
        <v>291</v>
      </c>
      <c r="B121" s="16" t="s">
        <v>170</v>
      </c>
      <c r="C121" s="11" t="s">
        <v>279</v>
      </c>
      <c r="D121" s="11" t="s">
        <v>292</v>
      </c>
      <c r="E121" s="15" t="s">
        <v>125</v>
      </c>
      <c r="F121" s="11" t="s">
        <v>150</v>
      </c>
    </row>
    <row r="122" spans="1:6" ht="27.75" hidden="1" customHeight="1">
      <c r="A122" s="9" t="s">
        <v>293</v>
      </c>
      <c r="B122" s="16" t="s">
        <v>170</v>
      </c>
      <c r="C122" s="11" t="s">
        <v>279</v>
      </c>
      <c r="D122" s="11" t="s">
        <v>294</v>
      </c>
      <c r="E122" s="15" t="s">
        <v>125</v>
      </c>
      <c r="F122" s="11" t="s">
        <v>150</v>
      </c>
    </row>
    <row r="123" spans="1:6" ht="27.75" hidden="1" customHeight="1">
      <c r="A123" s="9" t="s">
        <v>295</v>
      </c>
      <c r="B123" s="16" t="s">
        <v>170</v>
      </c>
      <c r="C123" s="11" t="s">
        <v>279</v>
      </c>
      <c r="D123" s="11" t="s">
        <v>296</v>
      </c>
      <c r="E123" s="15" t="s">
        <v>125</v>
      </c>
      <c r="F123" s="11" t="s">
        <v>38</v>
      </c>
    </row>
    <row r="124" spans="1:6" ht="27.75" hidden="1" customHeight="1">
      <c r="A124" s="9" t="s">
        <v>297</v>
      </c>
      <c r="B124" s="16" t="s">
        <v>170</v>
      </c>
      <c r="C124" s="11" t="s">
        <v>279</v>
      </c>
      <c r="D124" s="11" t="s">
        <v>298</v>
      </c>
      <c r="E124" s="15" t="s">
        <v>125</v>
      </c>
      <c r="F124" s="11" t="s">
        <v>150</v>
      </c>
    </row>
    <row r="125" spans="1:6" ht="27.75" customHeight="1">
      <c r="A125" s="9" t="s">
        <v>299</v>
      </c>
      <c r="B125" s="17" t="s">
        <v>300</v>
      </c>
      <c r="C125" s="11" t="s">
        <v>301</v>
      </c>
      <c r="D125" s="11" t="s">
        <v>302</v>
      </c>
      <c r="E125" s="14" t="s">
        <v>105</v>
      </c>
      <c r="F125" s="11" t="s">
        <v>38</v>
      </c>
    </row>
    <row r="126" spans="1:6" ht="27.75" customHeight="1">
      <c r="A126" s="9" t="s">
        <v>303</v>
      </c>
      <c r="B126" s="17" t="s">
        <v>300</v>
      </c>
      <c r="C126" s="11" t="s">
        <v>301</v>
      </c>
      <c r="D126" s="11" t="s">
        <v>304</v>
      </c>
      <c r="E126" s="14" t="s">
        <v>105</v>
      </c>
      <c r="F126" s="11" t="s">
        <v>38</v>
      </c>
    </row>
    <row r="127" spans="1:6" ht="27.75" customHeight="1">
      <c r="A127" s="9" t="s">
        <v>305</v>
      </c>
      <c r="B127" s="17" t="s">
        <v>300</v>
      </c>
      <c r="C127" s="11" t="s">
        <v>301</v>
      </c>
      <c r="D127" s="11" t="s">
        <v>306</v>
      </c>
      <c r="E127" s="14" t="s">
        <v>105</v>
      </c>
      <c r="F127" s="11" t="s">
        <v>38</v>
      </c>
    </row>
    <row r="128" spans="1:6" ht="27.75" customHeight="1">
      <c r="A128" s="9" t="s">
        <v>307</v>
      </c>
      <c r="B128" s="17" t="s">
        <v>300</v>
      </c>
      <c r="C128" s="11" t="s">
        <v>301</v>
      </c>
      <c r="D128" s="11" t="s">
        <v>308</v>
      </c>
      <c r="E128" s="14" t="s">
        <v>105</v>
      </c>
      <c r="F128" s="11" t="s">
        <v>38</v>
      </c>
    </row>
    <row r="129" spans="1:6" ht="27.75" customHeight="1">
      <c r="A129" s="9" t="s">
        <v>309</v>
      </c>
      <c r="B129" s="17" t="s">
        <v>300</v>
      </c>
      <c r="C129" s="11" t="s">
        <v>301</v>
      </c>
      <c r="D129" s="11" t="s">
        <v>310</v>
      </c>
      <c r="E129" s="14" t="s">
        <v>105</v>
      </c>
      <c r="F129" s="11" t="s">
        <v>38</v>
      </c>
    </row>
    <row r="130" spans="1:6" ht="27.75" customHeight="1">
      <c r="A130" s="9" t="s">
        <v>311</v>
      </c>
      <c r="B130" s="17" t="s">
        <v>300</v>
      </c>
      <c r="C130" s="11" t="s">
        <v>301</v>
      </c>
      <c r="D130" s="11" t="s">
        <v>312</v>
      </c>
      <c r="E130" s="14" t="s">
        <v>105</v>
      </c>
      <c r="F130" s="11" t="s">
        <v>38</v>
      </c>
    </row>
    <row r="131" spans="1:6" ht="27.75" customHeight="1">
      <c r="A131" s="9" t="s">
        <v>313</v>
      </c>
      <c r="B131" s="17" t="s">
        <v>300</v>
      </c>
      <c r="C131" s="11" t="s">
        <v>301</v>
      </c>
      <c r="D131" s="11" t="s">
        <v>314</v>
      </c>
      <c r="E131" s="14" t="s">
        <v>105</v>
      </c>
      <c r="F131" s="11" t="s">
        <v>38</v>
      </c>
    </row>
    <row r="132" spans="1:6" ht="27.75" customHeight="1">
      <c r="A132" s="9" t="s">
        <v>315</v>
      </c>
      <c r="B132" s="17" t="s">
        <v>300</v>
      </c>
      <c r="C132" s="11" t="s">
        <v>301</v>
      </c>
      <c r="D132" s="11" t="s">
        <v>316</v>
      </c>
      <c r="E132" s="14" t="s">
        <v>105</v>
      </c>
      <c r="F132" s="11" t="s">
        <v>38</v>
      </c>
    </row>
    <row r="133" spans="1:6" ht="27.75" customHeight="1">
      <c r="A133" s="9" t="s">
        <v>317</v>
      </c>
      <c r="B133" s="17" t="s">
        <v>300</v>
      </c>
      <c r="C133" s="11" t="s">
        <v>301</v>
      </c>
      <c r="D133" s="11" t="s">
        <v>318</v>
      </c>
      <c r="E133" s="14" t="s">
        <v>105</v>
      </c>
      <c r="F133" s="11" t="s">
        <v>38</v>
      </c>
    </row>
    <row r="134" spans="1:6" ht="27.75" customHeight="1">
      <c r="A134" s="9" t="s">
        <v>319</v>
      </c>
      <c r="B134" s="17" t="s">
        <v>300</v>
      </c>
      <c r="C134" s="11" t="s">
        <v>301</v>
      </c>
      <c r="D134" s="11" t="s">
        <v>320</v>
      </c>
      <c r="E134" s="14" t="s">
        <v>105</v>
      </c>
      <c r="F134" s="11" t="s">
        <v>38</v>
      </c>
    </row>
    <row r="135" spans="1:6" ht="27.75" customHeight="1">
      <c r="A135" s="9" t="s">
        <v>321</v>
      </c>
      <c r="B135" s="17" t="s">
        <v>300</v>
      </c>
      <c r="C135" s="11" t="s">
        <v>322</v>
      </c>
      <c r="D135" s="11" t="s">
        <v>323</v>
      </c>
      <c r="E135" s="12" t="s">
        <v>38</v>
      </c>
      <c r="F135" s="11" t="s">
        <v>125</v>
      </c>
    </row>
    <row r="136" spans="1:6" ht="27.75" customHeight="1">
      <c r="A136" s="9" t="s">
        <v>324</v>
      </c>
      <c r="B136" s="17" t="s">
        <v>300</v>
      </c>
      <c r="C136" s="11" t="s">
        <v>322</v>
      </c>
      <c r="D136" s="11" t="s">
        <v>325</v>
      </c>
      <c r="E136" s="12" t="s">
        <v>38</v>
      </c>
      <c r="F136" s="11" t="s">
        <v>125</v>
      </c>
    </row>
    <row r="137" spans="1:6" ht="27.75" customHeight="1">
      <c r="A137" s="9" t="s">
        <v>326</v>
      </c>
      <c r="B137" s="17" t="s">
        <v>300</v>
      </c>
      <c r="C137" s="11" t="s">
        <v>322</v>
      </c>
      <c r="D137" s="11" t="s">
        <v>327</v>
      </c>
      <c r="E137" s="12" t="s">
        <v>38</v>
      </c>
      <c r="F137" s="11" t="s">
        <v>125</v>
      </c>
    </row>
    <row r="138" spans="1:6" ht="27.75" customHeight="1">
      <c r="A138" s="9" t="s">
        <v>328</v>
      </c>
      <c r="B138" s="17" t="s">
        <v>300</v>
      </c>
      <c r="C138" s="11" t="s">
        <v>322</v>
      </c>
      <c r="D138" s="11" t="s">
        <v>329</v>
      </c>
      <c r="E138" s="12" t="s">
        <v>38</v>
      </c>
      <c r="F138" s="11" t="s">
        <v>66</v>
      </c>
    </row>
    <row r="139" spans="1:6" ht="27.75" customHeight="1">
      <c r="A139" s="9" t="s">
        <v>330</v>
      </c>
      <c r="B139" s="17" t="s">
        <v>300</v>
      </c>
      <c r="C139" s="11" t="s">
        <v>322</v>
      </c>
      <c r="D139" s="11" t="s">
        <v>331</v>
      </c>
      <c r="E139" s="12" t="s">
        <v>38</v>
      </c>
      <c r="F139" s="11" t="s">
        <v>125</v>
      </c>
    </row>
    <row r="140" spans="1:6" ht="27.75" customHeight="1">
      <c r="A140" s="9" t="s">
        <v>332</v>
      </c>
      <c r="B140" s="17" t="s">
        <v>300</v>
      </c>
      <c r="C140" s="11" t="s">
        <v>322</v>
      </c>
      <c r="D140" s="11" t="s">
        <v>333</v>
      </c>
      <c r="E140" s="12" t="s">
        <v>38</v>
      </c>
      <c r="F140" s="11" t="s">
        <v>125</v>
      </c>
    </row>
    <row r="141" spans="1:6" ht="27.75" customHeight="1">
      <c r="A141" s="9" t="s">
        <v>334</v>
      </c>
      <c r="B141" s="17" t="s">
        <v>300</v>
      </c>
      <c r="C141" s="11" t="s">
        <v>322</v>
      </c>
      <c r="D141" s="11" t="s">
        <v>335</v>
      </c>
      <c r="E141" s="12" t="s">
        <v>38</v>
      </c>
      <c r="F141" s="11" t="s">
        <v>125</v>
      </c>
    </row>
    <row r="142" spans="1:6" ht="27.75" customHeight="1">
      <c r="A142" s="9" t="s">
        <v>336</v>
      </c>
      <c r="B142" s="17" t="s">
        <v>300</v>
      </c>
      <c r="C142" s="11" t="s">
        <v>322</v>
      </c>
      <c r="D142" s="11" t="s">
        <v>337</v>
      </c>
      <c r="E142" s="12" t="s">
        <v>38</v>
      </c>
      <c r="F142" s="11" t="s">
        <v>125</v>
      </c>
    </row>
    <row r="143" spans="1:6" ht="27.75" customHeight="1">
      <c r="A143" s="9" t="s">
        <v>338</v>
      </c>
      <c r="B143" s="17" t="s">
        <v>300</v>
      </c>
      <c r="C143" s="11" t="s">
        <v>322</v>
      </c>
      <c r="D143" s="11" t="s">
        <v>339</v>
      </c>
      <c r="E143" s="12" t="s">
        <v>38</v>
      </c>
      <c r="F143" s="11" t="s">
        <v>125</v>
      </c>
    </row>
    <row r="144" spans="1:6" ht="27.75" customHeight="1">
      <c r="A144" s="9" t="s">
        <v>340</v>
      </c>
      <c r="B144" s="17" t="s">
        <v>300</v>
      </c>
      <c r="C144" s="11" t="s">
        <v>322</v>
      </c>
      <c r="D144" s="11" t="s">
        <v>341</v>
      </c>
      <c r="E144" s="12" t="s">
        <v>38</v>
      </c>
      <c r="F144" s="11" t="s">
        <v>125</v>
      </c>
    </row>
    <row r="145" spans="1:6" ht="27.75" customHeight="1">
      <c r="A145" s="9" t="s">
        <v>342</v>
      </c>
      <c r="B145" s="17" t="s">
        <v>300</v>
      </c>
      <c r="C145" s="11" t="s">
        <v>343</v>
      </c>
      <c r="D145" s="11" t="s">
        <v>344</v>
      </c>
      <c r="E145" s="12" t="s">
        <v>38</v>
      </c>
      <c r="F145" s="11" t="s">
        <v>66</v>
      </c>
    </row>
    <row r="146" spans="1:6" ht="27.75" customHeight="1">
      <c r="A146" s="9" t="s">
        <v>345</v>
      </c>
      <c r="B146" s="17" t="s">
        <v>300</v>
      </c>
      <c r="C146" s="11" t="s">
        <v>343</v>
      </c>
      <c r="D146" s="11" t="s">
        <v>346</v>
      </c>
      <c r="E146" s="12" t="s">
        <v>38</v>
      </c>
      <c r="F146" s="11" t="s">
        <v>66</v>
      </c>
    </row>
    <row r="147" spans="1:6" ht="27.75" customHeight="1">
      <c r="A147" s="9" t="s">
        <v>347</v>
      </c>
      <c r="B147" s="17" t="s">
        <v>300</v>
      </c>
      <c r="C147" s="11" t="s">
        <v>343</v>
      </c>
      <c r="D147" s="11" t="s">
        <v>348</v>
      </c>
      <c r="E147" s="12" t="s">
        <v>38</v>
      </c>
      <c r="F147" s="11" t="s">
        <v>66</v>
      </c>
    </row>
    <row r="148" spans="1:6" ht="27.75" customHeight="1">
      <c r="A148" s="9" t="s">
        <v>349</v>
      </c>
      <c r="B148" s="17" t="s">
        <v>300</v>
      </c>
      <c r="C148" s="11" t="s">
        <v>343</v>
      </c>
      <c r="D148" s="11" t="s">
        <v>350</v>
      </c>
      <c r="E148" s="12" t="s">
        <v>38</v>
      </c>
      <c r="F148" s="11" t="s">
        <v>66</v>
      </c>
    </row>
    <row r="149" spans="1:6" ht="27.75" customHeight="1">
      <c r="A149" s="9" t="s">
        <v>351</v>
      </c>
      <c r="B149" s="17" t="s">
        <v>300</v>
      </c>
      <c r="C149" s="11" t="s">
        <v>343</v>
      </c>
      <c r="D149" s="11" t="s">
        <v>352</v>
      </c>
      <c r="E149" s="12" t="s">
        <v>38</v>
      </c>
      <c r="F149" s="11" t="s">
        <v>66</v>
      </c>
    </row>
    <row r="150" spans="1:6" ht="27.75" customHeight="1">
      <c r="A150" s="9" t="s">
        <v>353</v>
      </c>
      <c r="B150" s="17" t="s">
        <v>300</v>
      </c>
      <c r="C150" s="11" t="s">
        <v>343</v>
      </c>
      <c r="D150" s="11" t="s">
        <v>354</v>
      </c>
      <c r="E150" s="12" t="s">
        <v>38</v>
      </c>
      <c r="F150" s="11" t="s">
        <v>66</v>
      </c>
    </row>
    <row r="151" spans="1:6" ht="27.75" customHeight="1">
      <c r="A151" s="9" t="s">
        <v>355</v>
      </c>
      <c r="B151" s="17" t="s">
        <v>300</v>
      </c>
      <c r="C151" s="11" t="s">
        <v>343</v>
      </c>
      <c r="D151" s="11" t="s">
        <v>356</v>
      </c>
      <c r="E151" s="12" t="s">
        <v>38</v>
      </c>
      <c r="F151" s="11" t="s">
        <v>66</v>
      </c>
    </row>
    <row r="152" spans="1:6" ht="27.75" customHeight="1">
      <c r="A152" s="9" t="s">
        <v>357</v>
      </c>
      <c r="B152" s="17" t="s">
        <v>300</v>
      </c>
      <c r="C152" s="11" t="s">
        <v>343</v>
      </c>
      <c r="D152" s="11" t="s">
        <v>358</v>
      </c>
      <c r="E152" s="12" t="s">
        <v>38</v>
      </c>
      <c r="F152" s="11" t="s">
        <v>66</v>
      </c>
    </row>
    <row r="153" spans="1:6" ht="27.75" customHeight="1">
      <c r="A153" s="9" t="s">
        <v>359</v>
      </c>
      <c r="B153" s="17" t="s">
        <v>300</v>
      </c>
      <c r="C153" s="11" t="s">
        <v>343</v>
      </c>
      <c r="D153" s="11" t="s">
        <v>360</v>
      </c>
      <c r="E153" s="12" t="s">
        <v>38</v>
      </c>
      <c r="F153" s="11" t="s">
        <v>66</v>
      </c>
    </row>
    <row r="154" spans="1:6" ht="27.75" customHeight="1">
      <c r="A154" s="9" t="s">
        <v>361</v>
      </c>
      <c r="B154" s="17" t="s">
        <v>300</v>
      </c>
      <c r="C154" s="11" t="s">
        <v>343</v>
      </c>
      <c r="D154" s="11" t="s">
        <v>362</v>
      </c>
      <c r="E154" s="12" t="s">
        <v>38</v>
      </c>
      <c r="F154" s="11" t="s">
        <v>66</v>
      </c>
    </row>
    <row r="155" spans="1:6" ht="27.75" customHeight="1">
      <c r="A155" s="9" t="s">
        <v>363</v>
      </c>
      <c r="B155" s="17" t="s">
        <v>300</v>
      </c>
      <c r="C155" s="11" t="s">
        <v>364</v>
      </c>
      <c r="D155" s="11" t="s">
        <v>365</v>
      </c>
      <c r="E155" s="13" t="s">
        <v>39</v>
      </c>
      <c r="F155" s="11" t="s">
        <v>105</v>
      </c>
    </row>
    <row r="156" spans="1:6" ht="27.75" customHeight="1">
      <c r="A156" s="9" t="s">
        <v>366</v>
      </c>
      <c r="B156" s="17" t="s">
        <v>300</v>
      </c>
      <c r="C156" s="11" t="s">
        <v>364</v>
      </c>
      <c r="D156" s="11" t="s">
        <v>367</v>
      </c>
      <c r="E156" s="13" t="s">
        <v>39</v>
      </c>
      <c r="F156" s="11" t="s">
        <v>105</v>
      </c>
    </row>
    <row r="157" spans="1:6" ht="27.75" customHeight="1">
      <c r="A157" s="9" t="s">
        <v>368</v>
      </c>
      <c r="B157" s="17" t="s">
        <v>300</v>
      </c>
      <c r="C157" s="11" t="s">
        <v>364</v>
      </c>
      <c r="D157" s="11" t="s">
        <v>369</v>
      </c>
      <c r="E157" s="13" t="s">
        <v>39</v>
      </c>
      <c r="F157" s="11" t="s">
        <v>105</v>
      </c>
    </row>
    <row r="158" spans="1:6" ht="27.75" customHeight="1">
      <c r="A158" s="9" t="s">
        <v>370</v>
      </c>
      <c r="B158" s="17" t="s">
        <v>300</v>
      </c>
      <c r="C158" s="11" t="s">
        <v>364</v>
      </c>
      <c r="D158" s="11" t="s">
        <v>371</v>
      </c>
      <c r="E158" s="13" t="s">
        <v>39</v>
      </c>
      <c r="F158" s="11" t="s">
        <v>105</v>
      </c>
    </row>
    <row r="159" spans="1:6" ht="27.75" customHeight="1">
      <c r="A159" s="9" t="s">
        <v>372</v>
      </c>
      <c r="B159" s="17" t="s">
        <v>300</v>
      </c>
      <c r="C159" s="11" t="s">
        <v>364</v>
      </c>
      <c r="D159" s="11" t="s">
        <v>373</v>
      </c>
      <c r="E159" s="13" t="s">
        <v>39</v>
      </c>
      <c r="F159" s="11" t="s">
        <v>105</v>
      </c>
    </row>
    <row r="160" spans="1:6" ht="27.75" customHeight="1">
      <c r="A160" s="9" t="s">
        <v>374</v>
      </c>
      <c r="B160" s="17" t="s">
        <v>300</v>
      </c>
      <c r="C160" s="11" t="s">
        <v>364</v>
      </c>
      <c r="D160" s="11" t="s">
        <v>375</v>
      </c>
      <c r="E160" s="13" t="s">
        <v>39</v>
      </c>
      <c r="F160" s="11" t="s">
        <v>105</v>
      </c>
    </row>
    <row r="161" spans="1:6" ht="27.75" customHeight="1">
      <c r="A161" s="9" t="s">
        <v>376</v>
      </c>
      <c r="B161" s="17" t="s">
        <v>300</v>
      </c>
      <c r="C161" s="11" t="s">
        <v>364</v>
      </c>
      <c r="D161" s="11" t="s">
        <v>377</v>
      </c>
      <c r="E161" s="13" t="s">
        <v>39</v>
      </c>
      <c r="F161" s="11" t="s">
        <v>105</v>
      </c>
    </row>
    <row r="162" spans="1:6" ht="27.75" customHeight="1">
      <c r="A162" s="9" t="s">
        <v>378</v>
      </c>
      <c r="B162" s="17" t="s">
        <v>300</v>
      </c>
      <c r="C162" s="11" t="s">
        <v>364</v>
      </c>
      <c r="D162" s="11" t="s">
        <v>379</v>
      </c>
      <c r="E162" s="13" t="s">
        <v>39</v>
      </c>
      <c r="F162" s="11" t="s">
        <v>105</v>
      </c>
    </row>
    <row r="163" spans="1:6" ht="27.75" customHeight="1">
      <c r="A163" s="9" t="s">
        <v>380</v>
      </c>
      <c r="B163" s="17" t="s">
        <v>300</v>
      </c>
      <c r="C163" s="11" t="s">
        <v>364</v>
      </c>
      <c r="D163" s="11" t="s">
        <v>381</v>
      </c>
      <c r="E163" s="13" t="s">
        <v>39</v>
      </c>
      <c r="F163" s="11" t="s">
        <v>105</v>
      </c>
    </row>
    <row r="164" spans="1:6" ht="27.75" customHeight="1">
      <c r="A164" s="9" t="s">
        <v>382</v>
      </c>
      <c r="B164" s="17" t="s">
        <v>300</v>
      </c>
      <c r="C164" s="11" t="s">
        <v>364</v>
      </c>
      <c r="D164" s="11" t="s">
        <v>383</v>
      </c>
      <c r="E164" s="13" t="s">
        <v>39</v>
      </c>
      <c r="F164" s="11" t="s">
        <v>105</v>
      </c>
    </row>
    <row r="165" spans="1:6" ht="27.75" customHeight="1">
      <c r="A165" s="9" t="s">
        <v>384</v>
      </c>
      <c r="B165" s="17" t="s">
        <v>300</v>
      </c>
      <c r="C165" s="11" t="s">
        <v>385</v>
      </c>
      <c r="D165" s="11" t="s">
        <v>386</v>
      </c>
      <c r="E165" s="14" t="s">
        <v>105</v>
      </c>
      <c r="F165" s="11" t="s">
        <v>216</v>
      </c>
    </row>
    <row r="166" spans="1:6" ht="27.75" customHeight="1">
      <c r="A166" s="9" t="s">
        <v>387</v>
      </c>
      <c r="B166" s="17" t="s">
        <v>300</v>
      </c>
      <c r="C166" s="11" t="s">
        <v>385</v>
      </c>
      <c r="D166" s="11" t="s">
        <v>388</v>
      </c>
      <c r="E166" s="14" t="s">
        <v>105</v>
      </c>
      <c r="F166" s="11" t="s">
        <v>216</v>
      </c>
    </row>
    <row r="167" spans="1:6" ht="27.75" customHeight="1">
      <c r="A167" s="9" t="s">
        <v>389</v>
      </c>
      <c r="B167" s="17" t="s">
        <v>300</v>
      </c>
      <c r="C167" s="11" t="s">
        <v>385</v>
      </c>
      <c r="D167" s="11" t="s">
        <v>390</v>
      </c>
      <c r="E167" s="14" t="s">
        <v>105</v>
      </c>
      <c r="F167" s="11" t="s">
        <v>216</v>
      </c>
    </row>
    <row r="168" spans="1:6" ht="27.75" customHeight="1">
      <c r="A168" s="9" t="s">
        <v>391</v>
      </c>
      <c r="B168" s="17" t="s">
        <v>300</v>
      </c>
      <c r="C168" s="11" t="s">
        <v>385</v>
      </c>
      <c r="D168" s="11" t="s">
        <v>392</v>
      </c>
      <c r="E168" s="14" t="s">
        <v>105</v>
      </c>
      <c r="F168" s="11" t="s">
        <v>216</v>
      </c>
    </row>
    <row r="169" spans="1:6" ht="27.75" customHeight="1">
      <c r="A169" s="9" t="s">
        <v>393</v>
      </c>
      <c r="B169" s="17" t="s">
        <v>300</v>
      </c>
      <c r="C169" s="11" t="s">
        <v>385</v>
      </c>
      <c r="D169" s="11" t="s">
        <v>394</v>
      </c>
      <c r="E169" s="14" t="s">
        <v>105</v>
      </c>
      <c r="F169" s="11" t="s">
        <v>216</v>
      </c>
    </row>
    <row r="170" spans="1:6" ht="27.75" customHeight="1">
      <c r="A170" s="9" t="s">
        <v>395</v>
      </c>
      <c r="B170" s="17" t="s">
        <v>300</v>
      </c>
      <c r="C170" s="11" t="s">
        <v>385</v>
      </c>
      <c r="D170" s="11" t="s">
        <v>396</v>
      </c>
      <c r="E170" s="14" t="s">
        <v>105</v>
      </c>
      <c r="F170" s="11" t="s">
        <v>216</v>
      </c>
    </row>
    <row r="171" spans="1:6" ht="27.75" customHeight="1">
      <c r="A171" s="9" t="s">
        <v>397</v>
      </c>
      <c r="B171" s="17" t="s">
        <v>300</v>
      </c>
      <c r="C171" s="11" t="s">
        <v>385</v>
      </c>
      <c r="D171" s="11" t="s">
        <v>398</v>
      </c>
      <c r="E171" s="12" t="s">
        <v>38</v>
      </c>
      <c r="F171" s="11" t="s">
        <v>105</v>
      </c>
    </row>
    <row r="172" spans="1:6" ht="27.75" customHeight="1">
      <c r="A172" s="9" t="s">
        <v>399</v>
      </c>
      <c r="B172" s="17" t="s">
        <v>300</v>
      </c>
      <c r="C172" s="11" t="s">
        <v>385</v>
      </c>
      <c r="D172" s="11" t="s">
        <v>400</v>
      </c>
      <c r="E172" s="14" t="s">
        <v>105</v>
      </c>
      <c r="F172" s="11" t="s">
        <v>216</v>
      </c>
    </row>
    <row r="173" spans="1:6" ht="27.75" customHeight="1">
      <c r="A173" s="9" t="s">
        <v>401</v>
      </c>
      <c r="B173" s="17" t="s">
        <v>300</v>
      </c>
      <c r="C173" s="11" t="s">
        <v>385</v>
      </c>
      <c r="D173" s="11" t="s">
        <v>402</v>
      </c>
      <c r="E173" s="14" t="s">
        <v>105</v>
      </c>
      <c r="F173" s="11" t="s">
        <v>216</v>
      </c>
    </row>
    <row r="174" spans="1:6" ht="27.75" customHeight="1">
      <c r="A174" s="9" t="s">
        <v>403</v>
      </c>
      <c r="B174" s="17" t="s">
        <v>300</v>
      </c>
      <c r="C174" s="11" t="s">
        <v>385</v>
      </c>
      <c r="D174" s="11" t="s">
        <v>404</v>
      </c>
      <c r="E174" s="14" t="s">
        <v>105</v>
      </c>
      <c r="F174" s="11" t="s">
        <v>216</v>
      </c>
    </row>
    <row r="176" spans="1:6">
      <c r="A176" s="18" t="s">
        <v>405</v>
      </c>
    </row>
    <row r="177" spans="1:4">
      <c r="A177" s="8" t="s">
        <v>406</v>
      </c>
      <c r="B177" s="8" t="s">
        <v>407</v>
      </c>
      <c r="C177" s="8" t="s">
        <v>408</v>
      </c>
      <c r="D177" s="8" t="s">
        <v>409</v>
      </c>
    </row>
    <row r="178" spans="1:4" ht="30" customHeight="1">
      <c r="A178" s="19" t="s">
        <v>39</v>
      </c>
      <c r="B178" s="9">
        <v>51</v>
      </c>
      <c r="C178" s="20">
        <v>129</v>
      </c>
      <c r="D178" s="11" t="s">
        <v>410</v>
      </c>
    </row>
    <row r="179" spans="1:4" ht="30" customHeight="1">
      <c r="A179" s="21" t="s">
        <v>105</v>
      </c>
      <c r="B179" s="9">
        <v>48</v>
      </c>
      <c r="C179" s="20">
        <v>99</v>
      </c>
      <c r="D179" s="11" t="s">
        <v>411</v>
      </c>
    </row>
    <row r="180" spans="1:4" ht="30" customHeight="1">
      <c r="A180" s="22" t="s">
        <v>38</v>
      </c>
      <c r="B180" s="9">
        <v>42</v>
      </c>
      <c r="C180" s="20">
        <v>109</v>
      </c>
      <c r="D180" s="11" t="s">
        <v>412</v>
      </c>
    </row>
    <row r="181" spans="1:4" ht="30" customHeight="1">
      <c r="A181" s="23" t="s">
        <v>125</v>
      </c>
      <c r="B181" s="9">
        <v>29</v>
      </c>
      <c r="C181" s="20">
        <v>75</v>
      </c>
      <c r="D181" s="11" t="s">
        <v>413</v>
      </c>
    </row>
    <row r="183" spans="1:4">
      <c r="A183" s="18" t="s">
        <v>414</v>
      </c>
    </row>
    <row r="184" spans="1:4">
      <c r="A184" s="65" t="s">
        <v>415</v>
      </c>
    </row>
  </sheetData>
  <autoFilter ref="A4:F174" xr:uid="{00000000-0009-0000-0000-000001000000}">
    <filterColumn colId="1">
      <filters>
        <filter val="Voice"/>
      </filters>
    </filterColumn>
  </autoFilter>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N174"/>
  <sheetViews>
    <sheetView showGridLines="0" zoomScaleNormal="100" workbookViewId="0">
      <pane xSplit="3" ySplit="4" topLeftCell="D125" activePane="bottomRight" state="frozen"/>
      <selection pane="bottomRight" activeCell="L126" sqref="L126"/>
      <selection pane="bottomLeft" activeCell="A5" sqref="A5"/>
      <selection pane="topRight" activeCell="D1" sqref="D1"/>
    </sheetView>
  </sheetViews>
  <sheetFormatPr defaultColWidth="8.7109375" defaultRowHeight="15"/>
  <cols>
    <col min="1" max="1" width="13" customWidth="1"/>
    <col min="2" max="2" width="10" customWidth="1"/>
    <col min="3" max="3" width="26" customWidth="1"/>
    <col min="4" max="4" width="30" customWidth="1"/>
    <col min="5" max="5" width="32" customWidth="1"/>
    <col min="6" max="6" width="58" customWidth="1"/>
    <col min="7" max="7" width="28" customWidth="1"/>
    <col min="8" max="8" width="30" customWidth="1"/>
    <col min="9" max="10" width="9" customWidth="1"/>
    <col min="11" max="12" width="54" customWidth="1"/>
    <col min="13" max="13" width="20" customWidth="1"/>
    <col min="14" max="14" width="34" customWidth="1"/>
  </cols>
  <sheetData>
    <row r="1" spans="1:14" ht="18" customHeight="1">
      <c r="A1" s="6" t="s">
        <v>416</v>
      </c>
    </row>
    <row r="2" spans="1:14" ht="15" customHeight="1">
      <c r="A2" s="7" t="s">
        <v>417</v>
      </c>
    </row>
    <row r="4" spans="1:14" ht="45.75" customHeight="1">
      <c r="A4" s="8" t="s">
        <v>28</v>
      </c>
      <c r="B4" s="8" t="s">
        <v>29</v>
      </c>
      <c r="C4" s="8" t="s">
        <v>30</v>
      </c>
      <c r="D4" s="8" t="s">
        <v>31</v>
      </c>
      <c r="E4" s="8" t="s">
        <v>418</v>
      </c>
      <c r="F4" s="8" t="s">
        <v>419</v>
      </c>
      <c r="G4" s="8" t="s">
        <v>420</v>
      </c>
      <c r="H4" s="8" t="s">
        <v>421</v>
      </c>
      <c r="I4" s="8" t="s">
        <v>422</v>
      </c>
      <c r="J4" s="8" t="s">
        <v>423</v>
      </c>
      <c r="K4" s="8" t="s">
        <v>424</v>
      </c>
      <c r="L4" s="8" t="s">
        <v>425</v>
      </c>
      <c r="M4" s="8" t="s">
        <v>426</v>
      </c>
      <c r="N4" s="8" t="s">
        <v>427</v>
      </c>
    </row>
    <row r="5" spans="1:14" ht="103.5" hidden="1" customHeight="1">
      <c r="A5" s="26" t="s">
        <v>34</v>
      </c>
      <c r="B5" s="10" t="s">
        <v>35</v>
      </c>
      <c r="C5" s="11" t="s">
        <v>36</v>
      </c>
      <c r="D5" s="24" t="s">
        <v>37</v>
      </c>
      <c r="E5" s="11" t="s">
        <v>428</v>
      </c>
      <c r="F5" s="11" t="s">
        <v>429</v>
      </c>
      <c r="G5" s="11" t="s">
        <v>430</v>
      </c>
      <c r="H5" s="27" t="s">
        <v>431</v>
      </c>
      <c r="I5" s="28" t="s">
        <v>432</v>
      </c>
      <c r="J5" s="11" t="s">
        <v>433</v>
      </c>
      <c r="K5" s="29" t="s">
        <v>434</v>
      </c>
      <c r="L5" s="30" t="s">
        <v>435</v>
      </c>
      <c r="M5" s="11" t="s">
        <v>436</v>
      </c>
      <c r="N5" s="11" t="s">
        <v>437</v>
      </c>
    </row>
    <row r="6" spans="1:14" ht="103.5" hidden="1" customHeight="1">
      <c r="A6" s="26" t="s">
        <v>40</v>
      </c>
      <c r="B6" s="10" t="s">
        <v>35</v>
      </c>
      <c r="C6" s="11" t="s">
        <v>36</v>
      </c>
      <c r="D6" s="24" t="s">
        <v>41</v>
      </c>
      <c r="E6" s="11" t="s">
        <v>438</v>
      </c>
      <c r="F6" s="11" t="s">
        <v>439</v>
      </c>
      <c r="G6" s="11" t="s">
        <v>440</v>
      </c>
      <c r="H6" s="27" t="s">
        <v>441</v>
      </c>
      <c r="I6" s="28" t="s">
        <v>432</v>
      </c>
      <c r="J6" s="11" t="s">
        <v>433</v>
      </c>
      <c r="K6" s="29" t="s">
        <v>442</v>
      </c>
      <c r="L6" s="30" t="s">
        <v>443</v>
      </c>
      <c r="M6" s="11" t="s">
        <v>436</v>
      </c>
      <c r="N6" s="11" t="s">
        <v>437</v>
      </c>
    </row>
    <row r="7" spans="1:14" ht="103.5" hidden="1" customHeight="1">
      <c r="A7" s="26" t="s">
        <v>42</v>
      </c>
      <c r="B7" s="10" t="s">
        <v>35</v>
      </c>
      <c r="C7" s="11" t="s">
        <v>36</v>
      </c>
      <c r="D7" s="24" t="s">
        <v>43</v>
      </c>
      <c r="E7" s="11" t="s">
        <v>444</v>
      </c>
      <c r="F7" s="11" t="s">
        <v>445</v>
      </c>
      <c r="G7" s="11" t="s">
        <v>446</v>
      </c>
      <c r="H7" s="27" t="s">
        <v>431</v>
      </c>
      <c r="I7" s="28" t="s">
        <v>432</v>
      </c>
      <c r="J7" s="11" t="s">
        <v>433</v>
      </c>
      <c r="K7" s="29" t="s">
        <v>447</v>
      </c>
      <c r="L7" s="30" t="s">
        <v>448</v>
      </c>
      <c r="M7" s="11" t="s">
        <v>436</v>
      </c>
      <c r="N7" s="11" t="s">
        <v>437</v>
      </c>
    </row>
    <row r="8" spans="1:14" ht="103.5" hidden="1" customHeight="1">
      <c r="A8" s="26" t="s">
        <v>44</v>
      </c>
      <c r="B8" s="10" t="s">
        <v>35</v>
      </c>
      <c r="C8" s="11" t="s">
        <v>36</v>
      </c>
      <c r="D8" s="24" t="s">
        <v>45</v>
      </c>
      <c r="E8" s="11" t="s">
        <v>449</v>
      </c>
      <c r="F8" s="11" t="s">
        <v>450</v>
      </c>
      <c r="G8" s="11" t="s">
        <v>451</v>
      </c>
      <c r="H8" s="27" t="s">
        <v>431</v>
      </c>
      <c r="I8" s="28" t="s">
        <v>432</v>
      </c>
      <c r="J8" s="11" t="s">
        <v>433</v>
      </c>
      <c r="K8" s="29" t="s">
        <v>452</v>
      </c>
      <c r="L8" s="30" t="s">
        <v>453</v>
      </c>
      <c r="M8" s="11" t="s">
        <v>436</v>
      </c>
      <c r="N8" s="11" t="s">
        <v>437</v>
      </c>
    </row>
    <row r="9" spans="1:14" ht="103.5" hidden="1" customHeight="1">
      <c r="A9" s="26" t="s">
        <v>46</v>
      </c>
      <c r="B9" s="10" t="s">
        <v>35</v>
      </c>
      <c r="C9" s="11" t="s">
        <v>36</v>
      </c>
      <c r="D9" s="24" t="s">
        <v>47</v>
      </c>
      <c r="E9" s="11" t="s">
        <v>454</v>
      </c>
      <c r="F9" s="11" t="s">
        <v>455</v>
      </c>
      <c r="G9" s="11" t="s">
        <v>456</v>
      </c>
      <c r="H9" s="27" t="s">
        <v>457</v>
      </c>
      <c r="I9" s="28" t="s">
        <v>432</v>
      </c>
      <c r="J9" s="11" t="s">
        <v>433</v>
      </c>
      <c r="K9" s="29" t="s">
        <v>458</v>
      </c>
      <c r="L9" s="30" t="s">
        <v>459</v>
      </c>
      <c r="M9" s="11" t="s">
        <v>436</v>
      </c>
      <c r="N9" s="11" t="s">
        <v>437</v>
      </c>
    </row>
    <row r="10" spans="1:14" ht="103.5" hidden="1" customHeight="1">
      <c r="A10" s="26" t="s">
        <v>48</v>
      </c>
      <c r="B10" s="10" t="s">
        <v>35</v>
      </c>
      <c r="C10" s="11" t="s">
        <v>36</v>
      </c>
      <c r="D10" s="24" t="s">
        <v>49</v>
      </c>
      <c r="E10" s="11" t="s">
        <v>460</v>
      </c>
      <c r="F10" s="11" t="s">
        <v>461</v>
      </c>
      <c r="G10" s="11" t="s">
        <v>462</v>
      </c>
      <c r="H10" s="27" t="s">
        <v>431</v>
      </c>
      <c r="I10" s="28" t="s">
        <v>432</v>
      </c>
      <c r="J10" s="11" t="s">
        <v>433</v>
      </c>
      <c r="K10" s="29" t="s">
        <v>463</v>
      </c>
      <c r="L10" s="30" t="s">
        <v>464</v>
      </c>
      <c r="M10" s="11" t="s">
        <v>436</v>
      </c>
      <c r="N10" s="11" t="s">
        <v>437</v>
      </c>
    </row>
    <row r="11" spans="1:14" ht="103.5" hidden="1" customHeight="1">
      <c r="A11" s="26" t="s">
        <v>50</v>
      </c>
      <c r="B11" s="10" t="s">
        <v>35</v>
      </c>
      <c r="C11" s="11" t="s">
        <v>36</v>
      </c>
      <c r="D11" s="24" t="s">
        <v>51</v>
      </c>
      <c r="E11" s="11" t="s">
        <v>465</v>
      </c>
      <c r="F11" s="11" t="s">
        <v>466</v>
      </c>
      <c r="G11" s="11" t="s">
        <v>467</v>
      </c>
      <c r="H11" s="27" t="s">
        <v>457</v>
      </c>
      <c r="I11" s="28" t="s">
        <v>432</v>
      </c>
      <c r="J11" s="11" t="s">
        <v>433</v>
      </c>
      <c r="K11" s="29" t="s">
        <v>468</v>
      </c>
      <c r="L11" s="30" t="s">
        <v>469</v>
      </c>
      <c r="M11" s="11" t="s">
        <v>436</v>
      </c>
      <c r="N11" s="11" t="s">
        <v>437</v>
      </c>
    </row>
    <row r="12" spans="1:14" ht="103.5" hidden="1" customHeight="1">
      <c r="A12" s="26" t="s">
        <v>52</v>
      </c>
      <c r="B12" s="10" t="s">
        <v>35</v>
      </c>
      <c r="C12" s="11" t="s">
        <v>36</v>
      </c>
      <c r="D12" s="24" t="s">
        <v>53</v>
      </c>
      <c r="E12" s="11" t="s">
        <v>470</v>
      </c>
      <c r="F12" s="11" t="s">
        <v>471</v>
      </c>
      <c r="G12" s="11" t="s">
        <v>472</v>
      </c>
      <c r="H12" s="27" t="s">
        <v>473</v>
      </c>
      <c r="I12" s="28" t="s">
        <v>432</v>
      </c>
      <c r="J12" s="11" t="s">
        <v>433</v>
      </c>
      <c r="K12" s="29" t="s">
        <v>474</v>
      </c>
      <c r="L12" s="30" t="s">
        <v>475</v>
      </c>
      <c r="M12" s="11" t="s">
        <v>436</v>
      </c>
      <c r="N12" s="11" t="s">
        <v>437</v>
      </c>
    </row>
    <row r="13" spans="1:14" ht="103.5" hidden="1" customHeight="1">
      <c r="A13" s="26" t="s">
        <v>54</v>
      </c>
      <c r="B13" s="10" t="s">
        <v>35</v>
      </c>
      <c r="C13" s="11" t="s">
        <v>36</v>
      </c>
      <c r="D13" s="24" t="s">
        <v>55</v>
      </c>
      <c r="E13" s="11" t="s">
        <v>476</v>
      </c>
      <c r="F13" s="11" t="s">
        <v>477</v>
      </c>
      <c r="G13" s="11" t="s">
        <v>478</v>
      </c>
      <c r="H13" s="27" t="s">
        <v>479</v>
      </c>
      <c r="I13" s="25" t="s">
        <v>66</v>
      </c>
      <c r="J13" s="11" t="s">
        <v>433</v>
      </c>
      <c r="K13" s="29" t="s">
        <v>480</v>
      </c>
      <c r="L13" s="30" t="s">
        <v>481</v>
      </c>
      <c r="M13" s="11" t="s">
        <v>436</v>
      </c>
      <c r="N13" s="11" t="s">
        <v>437</v>
      </c>
    </row>
    <row r="14" spans="1:14" ht="103.5" hidden="1" customHeight="1">
      <c r="A14" s="26" t="s">
        <v>56</v>
      </c>
      <c r="B14" s="10" t="s">
        <v>35</v>
      </c>
      <c r="C14" s="11" t="s">
        <v>36</v>
      </c>
      <c r="D14" s="24" t="s">
        <v>57</v>
      </c>
      <c r="E14" s="11" t="s">
        <v>482</v>
      </c>
      <c r="F14" s="11" t="s">
        <v>483</v>
      </c>
      <c r="G14" s="11" t="s">
        <v>484</v>
      </c>
      <c r="H14" s="27" t="s">
        <v>431</v>
      </c>
      <c r="I14" s="28" t="s">
        <v>432</v>
      </c>
      <c r="J14" s="11" t="s">
        <v>433</v>
      </c>
      <c r="K14" s="29" t="s">
        <v>485</v>
      </c>
      <c r="L14" s="30" t="s">
        <v>486</v>
      </c>
      <c r="M14" s="11" t="s">
        <v>436</v>
      </c>
      <c r="N14" s="11" t="s">
        <v>437</v>
      </c>
    </row>
    <row r="15" spans="1:14" ht="103.5" hidden="1" customHeight="1">
      <c r="A15" s="26" t="s">
        <v>58</v>
      </c>
      <c r="B15" s="10" t="s">
        <v>35</v>
      </c>
      <c r="C15" s="11" t="s">
        <v>59</v>
      </c>
      <c r="D15" s="24" t="s">
        <v>60</v>
      </c>
      <c r="E15" s="11" t="s">
        <v>487</v>
      </c>
      <c r="F15" s="11" t="s">
        <v>488</v>
      </c>
      <c r="G15" s="11" t="s">
        <v>489</v>
      </c>
      <c r="H15" s="31" t="s">
        <v>490</v>
      </c>
      <c r="I15" s="25" t="s">
        <v>66</v>
      </c>
      <c r="J15" s="11" t="s">
        <v>491</v>
      </c>
      <c r="K15" s="29" t="s">
        <v>492</v>
      </c>
      <c r="L15" s="30" t="s">
        <v>493</v>
      </c>
      <c r="M15" s="11" t="s">
        <v>494</v>
      </c>
      <c r="N15" s="11" t="s">
        <v>437</v>
      </c>
    </row>
    <row r="16" spans="1:14" ht="103.5" hidden="1" customHeight="1">
      <c r="A16" s="26" t="s">
        <v>62</v>
      </c>
      <c r="B16" s="10" t="s">
        <v>35</v>
      </c>
      <c r="C16" s="11" t="s">
        <v>59</v>
      </c>
      <c r="D16" s="24" t="s">
        <v>63</v>
      </c>
      <c r="E16" s="11" t="s">
        <v>495</v>
      </c>
      <c r="F16" s="11" t="s">
        <v>496</v>
      </c>
      <c r="G16" s="11" t="s">
        <v>489</v>
      </c>
      <c r="H16" s="31" t="s">
        <v>490</v>
      </c>
      <c r="I16" s="25" t="s">
        <v>66</v>
      </c>
      <c r="J16" s="11" t="s">
        <v>491</v>
      </c>
      <c r="K16" s="29" t="s">
        <v>497</v>
      </c>
      <c r="L16" s="30" t="s">
        <v>498</v>
      </c>
      <c r="M16" s="11" t="s">
        <v>494</v>
      </c>
      <c r="N16" s="11" t="s">
        <v>437</v>
      </c>
    </row>
    <row r="17" spans="1:14" ht="103.5" hidden="1" customHeight="1">
      <c r="A17" s="26" t="s">
        <v>64</v>
      </c>
      <c r="B17" s="10" t="s">
        <v>35</v>
      </c>
      <c r="C17" s="11" t="s">
        <v>59</v>
      </c>
      <c r="D17" s="24" t="s">
        <v>65</v>
      </c>
      <c r="E17" s="11" t="s">
        <v>499</v>
      </c>
      <c r="F17" s="11" t="s">
        <v>500</v>
      </c>
      <c r="G17" s="11" t="s">
        <v>489</v>
      </c>
      <c r="H17" s="31" t="s">
        <v>490</v>
      </c>
      <c r="I17" s="25" t="s">
        <v>66</v>
      </c>
      <c r="J17" s="11" t="s">
        <v>491</v>
      </c>
      <c r="K17" s="29" t="s">
        <v>501</v>
      </c>
      <c r="L17" s="30" t="s">
        <v>502</v>
      </c>
      <c r="M17" s="11" t="s">
        <v>494</v>
      </c>
      <c r="N17" s="11" t="s">
        <v>437</v>
      </c>
    </row>
    <row r="18" spans="1:14" ht="103.5" hidden="1" customHeight="1">
      <c r="A18" s="26" t="s">
        <v>67</v>
      </c>
      <c r="B18" s="10" t="s">
        <v>35</v>
      </c>
      <c r="C18" s="11" t="s">
        <v>59</v>
      </c>
      <c r="D18" s="24" t="s">
        <v>68</v>
      </c>
      <c r="E18" s="11" t="s">
        <v>503</v>
      </c>
      <c r="F18" s="11" t="s">
        <v>504</v>
      </c>
      <c r="G18" s="11" t="s">
        <v>489</v>
      </c>
      <c r="H18" s="31" t="s">
        <v>490</v>
      </c>
      <c r="I18" s="25" t="s">
        <v>66</v>
      </c>
      <c r="J18" s="11" t="s">
        <v>491</v>
      </c>
      <c r="K18" s="29" t="s">
        <v>505</v>
      </c>
      <c r="L18" s="30" t="s">
        <v>506</v>
      </c>
      <c r="M18" s="11" t="s">
        <v>494</v>
      </c>
      <c r="N18" s="11" t="s">
        <v>437</v>
      </c>
    </row>
    <row r="19" spans="1:14" ht="103.5" hidden="1" customHeight="1">
      <c r="A19" s="26" t="s">
        <v>69</v>
      </c>
      <c r="B19" s="10" t="s">
        <v>35</v>
      </c>
      <c r="C19" s="11" t="s">
        <v>59</v>
      </c>
      <c r="D19" s="24" t="s">
        <v>70</v>
      </c>
      <c r="E19" s="11" t="s">
        <v>507</v>
      </c>
      <c r="F19" s="11" t="s">
        <v>508</v>
      </c>
      <c r="G19" s="11" t="s">
        <v>489</v>
      </c>
      <c r="H19" s="31" t="s">
        <v>490</v>
      </c>
      <c r="I19" s="25" t="s">
        <v>66</v>
      </c>
      <c r="J19" s="11" t="s">
        <v>491</v>
      </c>
      <c r="K19" s="29" t="s">
        <v>509</v>
      </c>
      <c r="L19" s="30" t="s">
        <v>510</v>
      </c>
      <c r="M19" s="11" t="s">
        <v>494</v>
      </c>
      <c r="N19" s="11" t="s">
        <v>437</v>
      </c>
    </row>
    <row r="20" spans="1:14" ht="103.5" hidden="1" customHeight="1">
      <c r="A20" s="26" t="s">
        <v>71</v>
      </c>
      <c r="B20" s="10" t="s">
        <v>35</v>
      </c>
      <c r="C20" s="11" t="s">
        <v>59</v>
      </c>
      <c r="D20" s="24" t="s">
        <v>72</v>
      </c>
      <c r="E20" s="11" t="s">
        <v>511</v>
      </c>
      <c r="F20" s="11" t="s">
        <v>512</v>
      </c>
      <c r="G20" s="11" t="s">
        <v>489</v>
      </c>
      <c r="H20" s="31" t="s">
        <v>490</v>
      </c>
      <c r="I20" s="25" t="s">
        <v>66</v>
      </c>
      <c r="J20" s="11" t="s">
        <v>491</v>
      </c>
      <c r="K20" s="29" t="s">
        <v>513</v>
      </c>
      <c r="L20" s="30" t="s">
        <v>514</v>
      </c>
      <c r="M20" s="11" t="s">
        <v>494</v>
      </c>
      <c r="N20" s="11" t="s">
        <v>437</v>
      </c>
    </row>
    <row r="21" spans="1:14" ht="103.5" hidden="1" customHeight="1">
      <c r="A21" s="26" t="s">
        <v>73</v>
      </c>
      <c r="B21" s="10" t="s">
        <v>35</v>
      </c>
      <c r="C21" s="11" t="s">
        <v>59</v>
      </c>
      <c r="D21" s="24" t="s">
        <v>74</v>
      </c>
      <c r="E21" s="11" t="s">
        <v>515</v>
      </c>
      <c r="F21" s="11" t="s">
        <v>516</v>
      </c>
      <c r="G21" s="11" t="s">
        <v>489</v>
      </c>
      <c r="H21" s="31" t="s">
        <v>490</v>
      </c>
      <c r="I21" s="25" t="s">
        <v>66</v>
      </c>
      <c r="J21" s="11" t="s">
        <v>491</v>
      </c>
      <c r="K21" s="29" t="s">
        <v>517</v>
      </c>
      <c r="L21" s="30" t="s">
        <v>518</v>
      </c>
      <c r="M21" s="11" t="s">
        <v>494</v>
      </c>
      <c r="N21" s="11" t="s">
        <v>437</v>
      </c>
    </row>
    <row r="22" spans="1:14" ht="103.5" hidden="1" customHeight="1">
      <c r="A22" s="26" t="s">
        <v>75</v>
      </c>
      <c r="B22" s="10" t="s">
        <v>35</v>
      </c>
      <c r="C22" s="11" t="s">
        <v>59</v>
      </c>
      <c r="D22" s="24" t="s">
        <v>76</v>
      </c>
      <c r="E22" s="11" t="s">
        <v>519</v>
      </c>
      <c r="F22" s="11" t="s">
        <v>520</v>
      </c>
      <c r="G22" s="11" t="s">
        <v>521</v>
      </c>
      <c r="H22" s="27" t="s">
        <v>522</v>
      </c>
      <c r="I22" s="25" t="s">
        <v>66</v>
      </c>
      <c r="J22" s="11" t="s">
        <v>491</v>
      </c>
      <c r="K22" s="29" t="s">
        <v>523</v>
      </c>
      <c r="L22" s="30" t="s">
        <v>524</v>
      </c>
      <c r="M22" s="11" t="s">
        <v>494</v>
      </c>
      <c r="N22" s="11" t="s">
        <v>437</v>
      </c>
    </row>
    <row r="23" spans="1:14" ht="103.5" hidden="1" customHeight="1">
      <c r="A23" s="26" t="s">
        <v>77</v>
      </c>
      <c r="B23" s="10" t="s">
        <v>35</v>
      </c>
      <c r="C23" s="11" t="s">
        <v>59</v>
      </c>
      <c r="D23" s="24" t="s">
        <v>78</v>
      </c>
      <c r="E23" s="11" t="s">
        <v>525</v>
      </c>
      <c r="F23" s="11" t="s">
        <v>526</v>
      </c>
      <c r="G23" s="11" t="s">
        <v>527</v>
      </c>
      <c r="H23" s="27" t="s">
        <v>528</v>
      </c>
      <c r="I23" s="28" t="s">
        <v>432</v>
      </c>
      <c r="J23" s="11" t="s">
        <v>491</v>
      </c>
      <c r="K23" s="29" t="s">
        <v>529</v>
      </c>
      <c r="L23" s="30" t="s">
        <v>530</v>
      </c>
      <c r="M23" s="11" t="s">
        <v>494</v>
      </c>
      <c r="N23" s="11" t="s">
        <v>437</v>
      </c>
    </row>
    <row r="24" spans="1:14" ht="103.5" hidden="1" customHeight="1">
      <c r="A24" s="26" t="s">
        <v>79</v>
      </c>
      <c r="B24" s="10" t="s">
        <v>35</v>
      </c>
      <c r="C24" s="11" t="s">
        <v>59</v>
      </c>
      <c r="D24" s="24" t="s">
        <v>80</v>
      </c>
      <c r="E24" s="11" t="s">
        <v>531</v>
      </c>
      <c r="F24" s="11" t="s">
        <v>532</v>
      </c>
      <c r="G24" s="11" t="s">
        <v>533</v>
      </c>
      <c r="H24" s="27" t="s">
        <v>522</v>
      </c>
      <c r="I24" s="25" t="s">
        <v>66</v>
      </c>
      <c r="J24" s="11" t="s">
        <v>491</v>
      </c>
      <c r="K24" s="29" t="s">
        <v>534</v>
      </c>
      <c r="L24" s="30" t="s">
        <v>535</v>
      </c>
      <c r="M24" s="11" t="s">
        <v>494</v>
      </c>
      <c r="N24" s="11" t="s">
        <v>437</v>
      </c>
    </row>
    <row r="25" spans="1:14" ht="103.5" hidden="1" customHeight="1">
      <c r="A25" s="26" t="s">
        <v>81</v>
      </c>
      <c r="B25" s="10" t="s">
        <v>35</v>
      </c>
      <c r="C25" s="11" t="s">
        <v>82</v>
      </c>
      <c r="D25" s="24" t="s">
        <v>83</v>
      </c>
      <c r="E25" s="11" t="s">
        <v>536</v>
      </c>
      <c r="F25" s="11" t="s">
        <v>537</v>
      </c>
      <c r="G25" s="11" t="s">
        <v>538</v>
      </c>
      <c r="H25" s="27" t="s">
        <v>528</v>
      </c>
      <c r="I25" s="28" t="s">
        <v>432</v>
      </c>
      <c r="J25" s="11" t="s">
        <v>539</v>
      </c>
      <c r="K25" s="29" t="s">
        <v>540</v>
      </c>
      <c r="L25" s="30" t="s">
        <v>541</v>
      </c>
      <c r="M25" s="11" t="s">
        <v>542</v>
      </c>
      <c r="N25" s="11" t="s">
        <v>437</v>
      </c>
    </row>
    <row r="26" spans="1:14" ht="103.5" hidden="1" customHeight="1">
      <c r="A26" s="26" t="s">
        <v>84</v>
      </c>
      <c r="B26" s="10" t="s">
        <v>35</v>
      </c>
      <c r="C26" s="11" t="s">
        <v>82</v>
      </c>
      <c r="D26" s="24" t="s">
        <v>85</v>
      </c>
      <c r="E26" s="11" t="s">
        <v>543</v>
      </c>
      <c r="F26" s="11" t="s">
        <v>544</v>
      </c>
      <c r="G26" s="11" t="s">
        <v>538</v>
      </c>
      <c r="H26" s="27" t="s">
        <v>528</v>
      </c>
      <c r="I26" s="28" t="s">
        <v>432</v>
      </c>
      <c r="J26" s="11" t="s">
        <v>539</v>
      </c>
      <c r="K26" s="29" t="s">
        <v>545</v>
      </c>
      <c r="L26" s="30" t="s">
        <v>546</v>
      </c>
      <c r="M26" s="11" t="s">
        <v>542</v>
      </c>
      <c r="N26" s="11" t="s">
        <v>437</v>
      </c>
    </row>
    <row r="27" spans="1:14" ht="103.5" hidden="1" customHeight="1">
      <c r="A27" s="26" t="s">
        <v>86</v>
      </c>
      <c r="B27" s="10" t="s">
        <v>35</v>
      </c>
      <c r="C27" s="11" t="s">
        <v>82</v>
      </c>
      <c r="D27" s="24" t="s">
        <v>87</v>
      </c>
      <c r="E27" s="11" t="s">
        <v>547</v>
      </c>
      <c r="F27" s="11" t="s">
        <v>548</v>
      </c>
      <c r="G27" s="11" t="s">
        <v>549</v>
      </c>
      <c r="H27" s="27" t="s">
        <v>479</v>
      </c>
      <c r="I27" s="25" t="s">
        <v>66</v>
      </c>
      <c r="J27" s="11" t="s">
        <v>539</v>
      </c>
      <c r="K27" s="29" t="s">
        <v>550</v>
      </c>
      <c r="L27" s="30" t="s">
        <v>551</v>
      </c>
      <c r="M27" s="11" t="s">
        <v>542</v>
      </c>
      <c r="N27" s="11" t="s">
        <v>437</v>
      </c>
    </row>
    <row r="28" spans="1:14" ht="103.5" hidden="1" customHeight="1">
      <c r="A28" s="26" t="s">
        <v>88</v>
      </c>
      <c r="B28" s="10" t="s">
        <v>35</v>
      </c>
      <c r="C28" s="11" t="s">
        <v>82</v>
      </c>
      <c r="D28" s="24" t="s">
        <v>89</v>
      </c>
      <c r="E28" s="11" t="s">
        <v>552</v>
      </c>
      <c r="F28" s="11" t="s">
        <v>553</v>
      </c>
      <c r="G28" s="11" t="s">
        <v>554</v>
      </c>
      <c r="H28" s="27" t="s">
        <v>479</v>
      </c>
      <c r="I28" s="25" t="s">
        <v>66</v>
      </c>
      <c r="J28" s="11" t="s">
        <v>539</v>
      </c>
      <c r="K28" s="29" t="s">
        <v>555</v>
      </c>
      <c r="L28" s="30" t="s">
        <v>556</v>
      </c>
      <c r="M28" s="11" t="s">
        <v>542</v>
      </c>
      <c r="N28" s="11" t="s">
        <v>437</v>
      </c>
    </row>
    <row r="29" spans="1:14" ht="103.5" hidden="1" customHeight="1">
      <c r="A29" s="26" t="s">
        <v>90</v>
      </c>
      <c r="B29" s="10" t="s">
        <v>35</v>
      </c>
      <c r="C29" s="11" t="s">
        <v>82</v>
      </c>
      <c r="D29" s="24" t="s">
        <v>91</v>
      </c>
      <c r="E29" s="11" t="s">
        <v>557</v>
      </c>
      <c r="F29" s="11" t="s">
        <v>558</v>
      </c>
      <c r="G29" s="11" t="s">
        <v>559</v>
      </c>
      <c r="H29" s="27" t="s">
        <v>528</v>
      </c>
      <c r="I29" s="28" t="s">
        <v>432</v>
      </c>
      <c r="J29" s="11" t="s">
        <v>539</v>
      </c>
      <c r="K29" s="29" t="s">
        <v>560</v>
      </c>
      <c r="L29" s="30" t="s">
        <v>561</v>
      </c>
      <c r="M29" s="11" t="s">
        <v>542</v>
      </c>
      <c r="N29" s="11" t="s">
        <v>437</v>
      </c>
    </row>
    <row r="30" spans="1:14" ht="103.5" hidden="1" customHeight="1">
      <c r="A30" s="26" t="s">
        <v>92</v>
      </c>
      <c r="B30" s="10" t="s">
        <v>35</v>
      </c>
      <c r="C30" s="11" t="s">
        <v>82</v>
      </c>
      <c r="D30" s="24" t="s">
        <v>93</v>
      </c>
      <c r="E30" s="11" t="s">
        <v>562</v>
      </c>
      <c r="F30" s="11" t="s">
        <v>563</v>
      </c>
      <c r="G30" s="11" t="s">
        <v>564</v>
      </c>
      <c r="H30" s="27" t="s">
        <v>528</v>
      </c>
      <c r="I30" s="28" t="s">
        <v>432</v>
      </c>
      <c r="J30" s="11" t="s">
        <v>539</v>
      </c>
      <c r="K30" s="29" t="s">
        <v>565</v>
      </c>
      <c r="L30" s="30" t="s">
        <v>566</v>
      </c>
      <c r="M30" s="11" t="s">
        <v>542</v>
      </c>
      <c r="N30" s="11" t="s">
        <v>437</v>
      </c>
    </row>
    <row r="31" spans="1:14" ht="103.5" hidden="1" customHeight="1">
      <c r="A31" s="26" t="s">
        <v>94</v>
      </c>
      <c r="B31" s="10" t="s">
        <v>35</v>
      </c>
      <c r="C31" s="11" t="s">
        <v>82</v>
      </c>
      <c r="D31" s="24" t="s">
        <v>95</v>
      </c>
      <c r="E31" s="11" t="s">
        <v>567</v>
      </c>
      <c r="F31" s="11" t="s">
        <v>568</v>
      </c>
      <c r="G31" s="11" t="s">
        <v>569</v>
      </c>
      <c r="H31" s="27" t="s">
        <v>479</v>
      </c>
      <c r="I31" s="25" t="s">
        <v>66</v>
      </c>
      <c r="J31" s="11" t="s">
        <v>539</v>
      </c>
      <c r="K31" s="29" t="s">
        <v>570</v>
      </c>
      <c r="L31" s="30" t="s">
        <v>571</v>
      </c>
      <c r="M31" s="11" t="s">
        <v>542</v>
      </c>
      <c r="N31" s="11" t="s">
        <v>437</v>
      </c>
    </row>
    <row r="32" spans="1:14" ht="103.5" hidden="1" customHeight="1">
      <c r="A32" s="26" t="s">
        <v>96</v>
      </c>
      <c r="B32" s="10" t="s">
        <v>35</v>
      </c>
      <c r="C32" s="11" t="s">
        <v>82</v>
      </c>
      <c r="D32" s="24" t="s">
        <v>97</v>
      </c>
      <c r="E32" s="11" t="s">
        <v>572</v>
      </c>
      <c r="F32" s="11" t="s">
        <v>573</v>
      </c>
      <c r="G32" s="11" t="s">
        <v>574</v>
      </c>
      <c r="H32" s="27" t="s">
        <v>528</v>
      </c>
      <c r="I32" s="28" t="s">
        <v>432</v>
      </c>
      <c r="J32" s="11" t="s">
        <v>539</v>
      </c>
      <c r="K32" s="29" t="s">
        <v>575</v>
      </c>
      <c r="L32" s="30" t="s">
        <v>576</v>
      </c>
      <c r="M32" s="11" t="s">
        <v>542</v>
      </c>
      <c r="N32" s="11" t="s">
        <v>437</v>
      </c>
    </row>
    <row r="33" spans="1:14" ht="103.5" hidden="1" customHeight="1">
      <c r="A33" s="26" t="s">
        <v>98</v>
      </c>
      <c r="B33" s="10" t="s">
        <v>35</v>
      </c>
      <c r="C33" s="11" t="s">
        <v>82</v>
      </c>
      <c r="D33" s="24" t="s">
        <v>99</v>
      </c>
      <c r="E33" s="11" t="s">
        <v>577</v>
      </c>
      <c r="F33" s="11" t="s">
        <v>578</v>
      </c>
      <c r="G33" s="11" t="s">
        <v>579</v>
      </c>
      <c r="H33" s="27" t="s">
        <v>528</v>
      </c>
      <c r="I33" s="28" t="s">
        <v>432</v>
      </c>
      <c r="J33" s="11" t="s">
        <v>539</v>
      </c>
      <c r="K33" s="29" t="s">
        <v>580</v>
      </c>
      <c r="L33" s="30" t="s">
        <v>581</v>
      </c>
      <c r="M33" s="11" t="s">
        <v>542</v>
      </c>
      <c r="N33" s="11" t="s">
        <v>437</v>
      </c>
    </row>
    <row r="34" spans="1:14" ht="103.5" hidden="1" customHeight="1">
      <c r="A34" s="26" t="s">
        <v>100</v>
      </c>
      <c r="B34" s="10" t="s">
        <v>35</v>
      </c>
      <c r="C34" s="11" t="s">
        <v>82</v>
      </c>
      <c r="D34" s="24" t="s">
        <v>101</v>
      </c>
      <c r="E34" s="11" t="s">
        <v>582</v>
      </c>
      <c r="F34" s="11" t="s">
        <v>583</v>
      </c>
      <c r="G34" s="11" t="s">
        <v>579</v>
      </c>
      <c r="H34" s="27" t="s">
        <v>479</v>
      </c>
      <c r="I34" s="25" t="s">
        <v>66</v>
      </c>
      <c r="J34" s="11" t="s">
        <v>539</v>
      </c>
      <c r="K34" s="29" t="s">
        <v>584</v>
      </c>
      <c r="L34" s="30" t="s">
        <v>585</v>
      </c>
      <c r="M34" s="11" t="s">
        <v>542</v>
      </c>
      <c r="N34" s="11" t="s">
        <v>437</v>
      </c>
    </row>
    <row r="35" spans="1:14" ht="103.5" hidden="1" customHeight="1">
      <c r="A35" s="26" t="s">
        <v>102</v>
      </c>
      <c r="B35" s="10" t="s">
        <v>35</v>
      </c>
      <c r="C35" s="11" t="s">
        <v>103</v>
      </c>
      <c r="D35" s="24" t="s">
        <v>104</v>
      </c>
      <c r="E35" s="11" t="s">
        <v>586</v>
      </c>
      <c r="F35" s="11" t="s">
        <v>587</v>
      </c>
      <c r="G35" s="11" t="s">
        <v>588</v>
      </c>
      <c r="H35" s="27" t="s">
        <v>473</v>
      </c>
      <c r="I35" s="28" t="s">
        <v>432</v>
      </c>
      <c r="J35" s="11" t="s">
        <v>589</v>
      </c>
      <c r="K35" s="29" t="s">
        <v>590</v>
      </c>
      <c r="L35" s="30" t="s">
        <v>591</v>
      </c>
      <c r="M35" s="11" t="s">
        <v>592</v>
      </c>
      <c r="N35" s="11" t="s">
        <v>437</v>
      </c>
    </row>
    <row r="36" spans="1:14" ht="103.5" hidden="1" customHeight="1">
      <c r="A36" s="26" t="s">
        <v>107</v>
      </c>
      <c r="B36" s="10" t="s">
        <v>35</v>
      </c>
      <c r="C36" s="11" t="s">
        <v>103</v>
      </c>
      <c r="D36" s="24" t="s">
        <v>108</v>
      </c>
      <c r="E36" s="11" t="s">
        <v>593</v>
      </c>
      <c r="F36" s="11" t="s">
        <v>594</v>
      </c>
      <c r="G36" s="11" t="s">
        <v>595</v>
      </c>
      <c r="H36" s="27" t="s">
        <v>473</v>
      </c>
      <c r="I36" s="28" t="s">
        <v>432</v>
      </c>
      <c r="J36" s="11" t="s">
        <v>589</v>
      </c>
      <c r="K36" s="29" t="s">
        <v>596</v>
      </c>
      <c r="L36" s="30" t="s">
        <v>597</v>
      </c>
      <c r="M36" s="11" t="s">
        <v>592</v>
      </c>
      <c r="N36" s="11" t="s">
        <v>437</v>
      </c>
    </row>
    <row r="37" spans="1:14" ht="103.5" hidden="1" customHeight="1">
      <c r="A37" s="26" t="s">
        <v>109</v>
      </c>
      <c r="B37" s="10" t="s">
        <v>35</v>
      </c>
      <c r="C37" s="11" t="s">
        <v>103</v>
      </c>
      <c r="D37" s="24" t="s">
        <v>110</v>
      </c>
      <c r="E37" s="11" t="s">
        <v>598</v>
      </c>
      <c r="F37" s="11" t="s">
        <v>599</v>
      </c>
      <c r="G37" s="11" t="s">
        <v>600</v>
      </c>
      <c r="H37" s="27" t="s">
        <v>473</v>
      </c>
      <c r="I37" s="28" t="s">
        <v>432</v>
      </c>
      <c r="J37" s="11" t="s">
        <v>589</v>
      </c>
      <c r="K37" s="29" t="s">
        <v>601</v>
      </c>
      <c r="L37" s="30" t="s">
        <v>602</v>
      </c>
      <c r="M37" s="11" t="s">
        <v>592</v>
      </c>
      <c r="N37" s="11" t="s">
        <v>437</v>
      </c>
    </row>
    <row r="38" spans="1:14" ht="103.5" hidden="1" customHeight="1">
      <c r="A38" s="26" t="s">
        <v>111</v>
      </c>
      <c r="B38" s="10" t="s">
        <v>35</v>
      </c>
      <c r="C38" s="11" t="s">
        <v>103</v>
      </c>
      <c r="D38" s="24" t="s">
        <v>112</v>
      </c>
      <c r="E38" s="11" t="s">
        <v>603</v>
      </c>
      <c r="F38" s="11" t="s">
        <v>604</v>
      </c>
      <c r="G38" s="11" t="s">
        <v>595</v>
      </c>
      <c r="H38" s="27" t="s">
        <v>473</v>
      </c>
      <c r="I38" s="28" t="s">
        <v>432</v>
      </c>
      <c r="J38" s="11" t="s">
        <v>589</v>
      </c>
      <c r="K38" s="29" t="s">
        <v>605</v>
      </c>
      <c r="L38" s="30" t="s">
        <v>606</v>
      </c>
      <c r="M38" s="11" t="s">
        <v>592</v>
      </c>
      <c r="N38" s="11" t="s">
        <v>437</v>
      </c>
    </row>
    <row r="39" spans="1:14" ht="103.5" hidden="1" customHeight="1">
      <c r="A39" s="26" t="s">
        <v>113</v>
      </c>
      <c r="B39" s="10" t="s">
        <v>35</v>
      </c>
      <c r="C39" s="11" t="s">
        <v>103</v>
      </c>
      <c r="D39" s="24" t="s">
        <v>114</v>
      </c>
      <c r="E39" s="11" t="s">
        <v>607</v>
      </c>
      <c r="F39" s="11" t="s">
        <v>608</v>
      </c>
      <c r="G39" s="11" t="s">
        <v>609</v>
      </c>
      <c r="H39" s="27" t="s">
        <v>473</v>
      </c>
      <c r="I39" s="28" t="s">
        <v>432</v>
      </c>
      <c r="J39" s="11" t="s">
        <v>589</v>
      </c>
      <c r="K39" s="29" t="s">
        <v>610</v>
      </c>
      <c r="L39" s="30" t="s">
        <v>611</v>
      </c>
      <c r="M39" s="11" t="s">
        <v>592</v>
      </c>
      <c r="N39" s="11" t="s">
        <v>437</v>
      </c>
    </row>
    <row r="40" spans="1:14" ht="103.5" hidden="1" customHeight="1">
      <c r="A40" s="26" t="s">
        <v>115</v>
      </c>
      <c r="B40" s="10" t="s">
        <v>35</v>
      </c>
      <c r="C40" s="11" t="s">
        <v>103</v>
      </c>
      <c r="D40" s="24" t="s">
        <v>116</v>
      </c>
      <c r="E40" s="11" t="s">
        <v>612</v>
      </c>
      <c r="F40" s="11" t="s">
        <v>613</v>
      </c>
      <c r="G40" s="11" t="s">
        <v>614</v>
      </c>
      <c r="H40" s="27" t="s">
        <v>473</v>
      </c>
      <c r="I40" s="28" t="s">
        <v>432</v>
      </c>
      <c r="J40" s="11" t="s">
        <v>589</v>
      </c>
      <c r="K40" s="29" t="s">
        <v>615</v>
      </c>
      <c r="L40" s="30" t="s">
        <v>616</v>
      </c>
      <c r="M40" s="11" t="s">
        <v>592</v>
      </c>
      <c r="N40" s="11" t="s">
        <v>437</v>
      </c>
    </row>
    <row r="41" spans="1:14" ht="103.5" hidden="1" customHeight="1">
      <c r="A41" s="26" t="s">
        <v>117</v>
      </c>
      <c r="B41" s="10" t="s">
        <v>35</v>
      </c>
      <c r="C41" s="11" t="s">
        <v>103</v>
      </c>
      <c r="D41" s="24" t="s">
        <v>118</v>
      </c>
      <c r="E41" s="11" t="s">
        <v>617</v>
      </c>
      <c r="F41" s="11" t="s">
        <v>618</v>
      </c>
      <c r="G41" s="11" t="s">
        <v>595</v>
      </c>
      <c r="H41" s="27" t="s">
        <v>473</v>
      </c>
      <c r="I41" s="28" t="s">
        <v>432</v>
      </c>
      <c r="J41" s="11" t="s">
        <v>589</v>
      </c>
      <c r="K41" s="29" t="s">
        <v>619</v>
      </c>
      <c r="L41" s="30" t="s">
        <v>620</v>
      </c>
      <c r="M41" s="11" t="s">
        <v>592</v>
      </c>
      <c r="N41" s="11" t="s">
        <v>437</v>
      </c>
    </row>
    <row r="42" spans="1:14" ht="103.5" hidden="1" customHeight="1">
      <c r="A42" s="26" t="s">
        <v>119</v>
      </c>
      <c r="B42" s="10" t="s">
        <v>35</v>
      </c>
      <c r="C42" s="11" t="s">
        <v>103</v>
      </c>
      <c r="D42" s="24" t="s">
        <v>120</v>
      </c>
      <c r="E42" s="11" t="s">
        <v>621</v>
      </c>
      <c r="F42" s="11" t="s">
        <v>622</v>
      </c>
      <c r="G42" s="11" t="s">
        <v>595</v>
      </c>
      <c r="H42" s="27" t="s">
        <v>473</v>
      </c>
      <c r="I42" s="28" t="s">
        <v>432</v>
      </c>
      <c r="J42" s="11" t="s">
        <v>589</v>
      </c>
      <c r="K42" s="29" t="s">
        <v>623</v>
      </c>
      <c r="L42" s="30" t="s">
        <v>624</v>
      </c>
      <c r="M42" s="11" t="s">
        <v>592</v>
      </c>
      <c r="N42" s="11" t="s">
        <v>437</v>
      </c>
    </row>
    <row r="43" spans="1:14" ht="103.5" hidden="1" customHeight="1">
      <c r="A43" s="26" t="s">
        <v>121</v>
      </c>
      <c r="B43" s="10" t="s">
        <v>35</v>
      </c>
      <c r="C43" s="11" t="s">
        <v>103</v>
      </c>
      <c r="D43" s="24" t="s">
        <v>122</v>
      </c>
      <c r="E43" s="11" t="s">
        <v>625</v>
      </c>
      <c r="F43" s="11" t="s">
        <v>626</v>
      </c>
      <c r="G43" s="11" t="s">
        <v>627</v>
      </c>
      <c r="H43" s="27" t="s">
        <v>473</v>
      </c>
      <c r="I43" s="28" t="s">
        <v>432</v>
      </c>
      <c r="J43" s="11" t="s">
        <v>589</v>
      </c>
      <c r="K43" s="29" t="s">
        <v>628</v>
      </c>
      <c r="L43" s="30" t="s">
        <v>629</v>
      </c>
      <c r="M43" s="11" t="s">
        <v>592</v>
      </c>
      <c r="N43" s="11" t="s">
        <v>437</v>
      </c>
    </row>
    <row r="44" spans="1:14" ht="103.5" hidden="1" customHeight="1">
      <c r="A44" s="26" t="s">
        <v>123</v>
      </c>
      <c r="B44" s="10" t="s">
        <v>35</v>
      </c>
      <c r="C44" s="11" t="s">
        <v>103</v>
      </c>
      <c r="D44" s="24" t="s">
        <v>124</v>
      </c>
      <c r="E44" s="11" t="s">
        <v>630</v>
      </c>
      <c r="F44" s="11" t="s">
        <v>631</v>
      </c>
      <c r="G44" s="11" t="s">
        <v>632</v>
      </c>
      <c r="H44" s="27" t="s">
        <v>473</v>
      </c>
      <c r="I44" s="28" t="s">
        <v>432</v>
      </c>
      <c r="J44" s="11" t="s">
        <v>589</v>
      </c>
      <c r="K44" s="29" t="s">
        <v>633</v>
      </c>
      <c r="L44" s="30" t="s">
        <v>634</v>
      </c>
      <c r="M44" s="11" t="s">
        <v>592</v>
      </c>
      <c r="N44" s="11" t="s">
        <v>437</v>
      </c>
    </row>
    <row r="45" spans="1:14" ht="103.5" hidden="1" customHeight="1">
      <c r="A45" s="26" t="s">
        <v>126</v>
      </c>
      <c r="B45" s="10" t="s">
        <v>35</v>
      </c>
      <c r="C45" s="11" t="s">
        <v>127</v>
      </c>
      <c r="D45" s="24" t="s">
        <v>128</v>
      </c>
      <c r="E45" s="11" t="s">
        <v>635</v>
      </c>
      <c r="F45" s="11" t="s">
        <v>636</v>
      </c>
      <c r="G45" s="11" t="s">
        <v>489</v>
      </c>
      <c r="H45" s="31" t="s">
        <v>490</v>
      </c>
      <c r="I45" s="25" t="s">
        <v>66</v>
      </c>
      <c r="J45" s="11" t="s">
        <v>637</v>
      </c>
      <c r="K45" s="29" t="s">
        <v>638</v>
      </c>
      <c r="L45" s="30" t="s">
        <v>639</v>
      </c>
      <c r="M45" s="11" t="s">
        <v>640</v>
      </c>
      <c r="N45" s="11" t="s">
        <v>437</v>
      </c>
    </row>
    <row r="46" spans="1:14" ht="103.5" hidden="1" customHeight="1">
      <c r="A46" s="26" t="s">
        <v>129</v>
      </c>
      <c r="B46" s="10" t="s">
        <v>35</v>
      </c>
      <c r="C46" s="11" t="s">
        <v>127</v>
      </c>
      <c r="D46" s="24" t="s">
        <v>130</v>
      </c>
      <c r="E46" s="11" t="s">
        <v>641</v>
      </c>
      <c r="F46" s="11" t="s">
        <v>642</v>
      </c>
      <c r="G46" s="11" t="s">
        <v>489</v>
      </c>
      <c r="H46" s="31" t="s">
        <v>490</v>
      </c>
      <c r="I46" s="25" t="s">
        <v>66</v>
      </c>
      <c r="J46" s="11" t="s">
        <v>637</v>
      </c>
      <c r="K46" s="29" t="s">
        <v>643</v>
      </c>
      <c r="L46" s="30" t="s">
        <v>644</v>
      </c>
      <c r="M46" s="11" t="s">
        <v>640</v>
      </c>
      <c r="N46" s="11" t="s">
        <v>437</v>
      </c>
    </row>
    <row r="47" spans="1:14" ht="103.5" hidden="1" customHeight="1">
      <c r="A47" s="26" t="s">
        <v>131</v>
      </c>
      <c r="B47" s="10" t="s">
        <v>35</v>
      </c>
      <c r="C47" s="11" t="s">
        <v>127</v>
      </c>
      <c r="D47" s="24" t="s">
        <v>132</v>
      </c>
      <c r="E47" s="11" t="s">
        <v>645</v>
      </c>
      <c r="F47" s="11" t="s">
        <v>646</v>
      </c>
      <c r="G47" s="11" t="s">
        <v>489</v>
      </c>
      <c r="H47" s="31" t="s">
        <v>490</v>
      </c>
      <c r="I47" s="25" t="s">
        <v>66</v>
      </c>
      <c r="J47" s="11" t="s">
        <v>637</v>
      </c>
      <c r="K47" s="29" t="s">
        <v>647</v>
      </c>
      <c r="L47" s="30" t="s">
        <v>648</v>
      </c>
      <c r="M47" s="11" t="s">
        <v>640</v>
      </c>
      <c r="N47" s="11" t="s">
        <v>437</v>
      </c>
    </row>
    <row r="48" spans="1:14" ht="103.5" hidden="1" customHeight="1">
      <c r="A48" s="26" t="s">
        <v>133</v>
      </c>
      <c r="B48" s="10" t="s">
        <v>35</v>
      </c>
      <c r="C48" s="11" t="s">
        <v>127</v>
      </c>
      <c r="D48" s="24" t="s">
        <v>134</v>
      </c>
      <c r="E48" s="11" t="s">
        <v>649</v>
      </c>
      <c r="F48" s="11" t="s">
        <v>650</v>
      </c>
      <c r="G48" s="11" t="s">
        <v>651</v>
      </c>
      <c r="H48" s="27" t="s">
        <v>652</v>
      </c>
      <c r="I48" s="28" t="s">
        <v>432</v>
      </c>
      <c r="J48" s="11" t="s">
        <v>637</v>
      </c>
      <c r="K48" s="29" t="s">
        <v>653</v>
      </c>
      <c r="L48" s="30" t="s">
        <v>654</v>
      </c>
      <c r="M48" s="11" t="s">
        <v>640</v>
      </c>
      <c r="N48" s="11" t="s">
        <v>437</v>
      </c>
    </row>
    <row r="49" spans="1:14" ht="103.5" hidden="1" customHeight="1">
      <c r="A49" s="26" t="s">
        <v>135</v>
      </c>
      <c r="B49" s="10" t="s">
        <v>35</v>
      </c>
      <c r="C49" s="11" t="s">
        <v>127</v>
      </c>
      <c r="D49" s="24" t="s">
        <v>136</v>
      </c>
      <c r="E49" s="11" t="s">
        <v>655</v>
      </c>
      <c r="F49" s="11" t="s">
        <v>656</v>
      </c>
      <c r="G49" s="11" t="s">
        <v>657</v>
      </c>
      <c r="H49" s="27" t="s">
        <v>522</v>
      </c>
      <c r="I49" s="25" t="s">
        <v>66</v>
      </c>
      <c r="J49" s="11" t="s">
        <v>637</v>
      </c>
      <c r="K49" s="29" t="s">
        <v>658</v>
      </c>
      <c r="L49" s="30" t="s">
        <v>659</v>
      </c>
      <c r="M49" s="11" t="s">
        <v>640</v>
      </c>
      <c r="N49" s="11" t="s">
        <v>437</v>
      </c>
    </row>
    <row r="50" spans="1:14" ht="103.5" hidden="1" customHeight="1">
      <c r="A50" s="26" t="s">
        <v>137</v>
      </c>
      <c r="B50" s="10" t="s">
        <v>35</v>
      </c>
      <c r="C50" s="11" t="s">
        <v>127</v>
      </c>
      <c r="D50" s="24" t="s">
        <v>138</v>
      </c>
      <c r="E50" s="11" t="s">
        <v>660</v>
      </c>
      <c r="F50" s="11" t="s">
        <v>661</v>
      </c>
      <c r="G50" s="11" t="s">
        <v>662</v>
      </c>
      <c r="H50" s="27" t="s">
        <v>522</v>
      </c>
      <c r="I50" s="25" t="s">
        <v>66</v>
      </c>
      <c r="J50" s="11" t="s">
        <v>637</v>
      </c>
      <c r="K50" s="29" t="s">
        <v>663</v>
      </c>
      <c r="L50" s="30" t="s">
        <v>664</v>
      </c>
      <c r="M50" s="11" t="s">
        <v>640</v>
      </c>
      <c r="N50" s="11" t="s">
        <v>437</v>
      </c>
    </row>
    <row r="51" spans="1:14" ht="103.5" hidden="1" customHeight="1">
      <c r="A51" s="26" t="s">
        <v>139</v>
      </c>
      <c r="B51" s="10" t="s">
        <v>35</v>
      </c>
      <c r="C51" s="11" t="s">
        <v>127</v>
      </c>
      <c r="D51" s="24" t="s">
        <v>140</v>
      </c>
      <c r="E51" s="11" t="s">
        <v>665</v>
      </c>
      <c r="F51" s="11" t="s">
        <v>666</v>
      </c>
      <c r="G51" s="11" t="s">
        <v>489</v>
      </c>
      <c r="H51" s="31" t="s">
        <v>490</v>
      </c>
      <c r="I51" s="25" t="s">
        <v>66</v>
      </c>
      <c r="J51" s="11" t="s">
        <v>637</v>
      </c>
      <c r="K51" s="29" t="s">
        <v>667</v>
      </c>
      <c r="L51" s="30" t="s">
        <v>668</v>
      </c>
      <c r="M51" s="11" t="s">
        <v>640</v>
      </c>
      <c r="N51" s="11" t="s">
        <v>437</v>
      </c>
    </row>
    <row r="52" spans="1:14" ht="103.5" hidden="1" customHeight="1">
      <c r="A52" s="26" t="s">
        <v>141</v>
      </c>
      <c r="B52" s="10" t="s">
        <v>35</v>
      </c>
      <c r="C52" s="11" t="s">
        <v>127</v>
      </c>
      <c r="D52" s="24" t="s">
        <v>142</v>
      </c>
      <c r="E52" s="11" t="s">
        <v>156</v>
      </c>
      <c r="F52" s="11" t="s">
        <v>669</v>
      </c>
      <c r="G52" s="11" t="s">
        <v>489</v>
      </c>
      <c r="H52" s="31" t="s">
        <v>490</v>
      </c>
      <c r="I52" s="25" t="s">
        <v>66</v>
      </c>
      <c r="J52" s="11" t="s">
        <v>637</v>
      </c>
      <c r="K52" s="29" t="s">
        <v>670</v>
      </c>
      <c r="L52" s="30" t="s">
        <v>671</v>
      </c>
      <c r="M52" s="11" t="s">
        <v>640</v>
      </c>
      <c r="N52" s="11" t="s">
        <v>437</v>
      </c>
    </row>
    <row r="53" spans="1:14" ht="103.5" hidden="1" customHeight="1">
      <c r="A53" s="26" t="s">
        <v>143</v>
      </c>
      <c r="B53" s="10" t="s">
        <v>35</v>
      </c>
      <c r="C53" s="11" t="s">
        <v>127</v>
      </c>
      <c r="D53" s="24" t="s">
        <v>144</v>
      </c>
      <c r="E53" s="11" t="s">
        <v>672</v>
      </c>
      <c r="F53" s="11" t="s">
        <v>673</v>
      </c>
      <c r="G53" s="11" t="s">
        <v>489</v>
      </c>
      <c r="H53" s="31" t="s">
        <v>490</v>
      </c>
      <c r="I53" s="25" t="s">
        <v>66</v>
      </c>
      <c r="J53" s="11" t="s">
        <v>637</v>
      </c>
      <c r="K53" s="29" t="s">
        <v>674</v>
      </c>
      <c r="L53" s="30" t="s">
        <v>675</v>
      </c>
      <c r="M53" s="11" t="s">
        <v>640</v>
      </c>
      <c r="N53" s="11" t="s">
        <v>437</v>
      </c>
    </row>
    <row r="54" spans="1:14" ht="103.5" hidden="1" customHeight="1">
      <c r="A54" s="26" t="s">
        <v>145</v>
      </c>
      <c r="B54" s="10" t="s">
        <v>35</v>
      </c>
      <c r="C54" s="11" t="s">
        <v>127</v>
      </c>
      <c r="D54" s="24" t="s">
        <v>146</v>
      </c>
      <c r="E54" s="11" t="s">
        <v>676</v>
      </c>
      <c r="F54" s="11" t="s">
        <v>677</v>
      </c>
      <c r="G54" s="11" t="s">
        <v>489</v>
      </c>
      <c r="H54" s="31" t="s">
        <v>490</v>
      </c>
      <c r="I54" s="25" t="s">
        <v>66</v>
      </c>
      <c r="J54" s="11" t="s">
        <v>637</v>
      </c>
      <c r="K54" s="29" t="s">
        <v>678</v>
      </c>
      <c r="L54" s="30" t="s">
        <v>679</v>
      </c>
      <c r="M54" s="11" t="s">
        <v>640</v>
      </c>
      <c r="N54" s="11" t="s">
        <v>437</v>
      </c>
    </row>
    <row r="55" spans="1:14" ht="103.5" hidden="1" customHeight="1">
      <c r="A55" s="26" t="s">
        <v>147</v>
      </c>
      <c r="B55" s="10" t="s">
        <v>35</v>
      </c>
      <c r="C55" s="11" t="s">
        <v>148</v>
      </c>
      <c r="D55" s="24" t="s">
        <v>149</v>
      </c>
      <c r="E55" s="11" t="s">
        <v>680</v>
      </c>
      <c r="F55" s="11" t="s">
        <v>681</v>
      </c>
      <c r="G55" s="11" t="s">
        <v>682</v>
      </c>
      <c r="H55" s="27" t="s">
        <v>457</v>
      </c>
      <c r="I55" s="28" t="s">
        <v>432</v>
      </c>
      <c r="J55" s="11" t="s">
        <v>683</v>
      </c>
      <c r="K55" s="29" t="s">
        <v>684</v>
      </c>
      <c r="L55" s="30" t="s">
        <v>685</v>
      </c>
      <c r="M55" s="11" t="s">
        <v>592</v>
      </c>
      <c r="N55" s="11" t="s">
        <v>437</v>
      </c>
    </row>
    <row r="56" spans="1:14" ht="103.5" hidden="1" customHeight="1">
      <c r="A56" s="26" t="s">
        <v>151</v>
      </c>
      <c r="B56" s="10" t="s">
        <v>35</v>
      </c>
      <c r="C56" s="11" t="s">
        <v>148</v>
      </c>
      <c r="D56" s="24" t="s">
        <v>152</v>
      </c>
      <c r="E56" s="11" t="s">
        <v>686</v>
      </c>
      <c r="F56" s="11" t="s">
        <v>687</v>
      </c>
      <c r="G56" s="11" t="s">
        <v>688</v>
      </c>
      <c r="H56" s="27" t="s">
        <v>457</v>
      </c>
      <c r="I56" s="28" t="s">
        <v>432</v>
      </c>
      <c r="J56" s="11" t="s">
        <v>683</v>
      </c>
      <c r="K56" s="29" t="s">
        <v>689</v>
      </c>
      <c r="L56" s="30" t="s">
        <v>690</v>
      </c>
      <c r="M56" s="11" t="s">
        <v>592</v>
      </c>
      <c r="N56" s="11" t="s">
        <v>437</v>
      </c>
    </row>
    <row r="57" spans="1:14" ht="103.5" hidden="1" customHeight="1">
      <c r="A57" s="26" t="s">
        <v>153</v>
      </c>
      <c r="B57" s="10" t="s">
        <v>35</v>
      </c>
      <c r="C57" s="11" t="s">
        <v>148</v>
      </c>
      <c r="D57" s="24" t="s">
        <v>154</v>
      </c>
      <c r="E57" s="11" t="s">
        <v>691</v>
      </c>
      <c r="F57" s="11" t="s">
        <v>692</v>
      </c>
      <c r="G57" s="11" t="s">
        <v>693</v>
      </c>
      <c r="H57" s="27" t="s">
        <v>457</v>
      </c>
      <c r="I57" s="28" t="s">
        <v>432</v>
      </c>
      <c r="J57" s="11" t="s">
        <v>683</v>
      </c>
      <c r="K57" s="29" t="s">
        <v>694</v>
      </c>
      <c r="L57" s="30" t="s">
        <v>695</v>
      </c>
      <c r="M57" s="11" t="s">
        <v>592</v>
      </c>
      <c r="N57" s="11" t="s">
        <v>437</v>
      </c>
    </row>
    <row r="58" spans="1:14" ht="103.5" hidden="1" customHeight="1">
      <c r="A58" s="26" t="s">
        <v>155</v>
      </c>
      <c r="B58" s="10" t="s">
        <v>35</v>
      </c>
      <c r="C58" s="11" t="s">
        <v>148</v>
      </c>
      <c r="D58" s="24" t="s">
        <v>156</v>
      </c>
      <c r="E58" s="11" t="s">
        <v>696</v>
      </c>
      <c r="F58" s="11" t="s">
        <v>697</v>
      </c>
      <c r="G58" s="11" t="s">
        <v>698</v>
      </c>
      <c r="H58" s="27" t="s">
        <v>457</v>
      </c>
      <c r="I58" s="28" t="s">
        <v>432</v>
      </c>
      <c r="J58" s="11" t="s">
        <v>683</v>
      </c>
      <c r="K58" s="29" t="s">
        <v>699</v>
      </c>
      <c r="L58" s="30" t="s">
        <v>700</v>
      </c>
      <c r="M58" s="11" t="s">
        <v>592</v>
      </c>
      <c r="N58" s="11" t="s">
        <v>437</v>
      </c>
    </row>
    <row r="59" spans="1:14" ht="103.5" hidden="1" customHeight="1">
      <c r="A59" s="26" t="s">
        <v>157</v>
      </c>
      <c r="B59" s="10" t="s">
        <v>35</v>
      </c>
      <c r="C59" s="11" t="s">
        <v>148</v>
      </c>
      <c r="D59" s="24" t="s">
        <v>158</v>
      </c>
      <c r="E59" s="11" t="s">
        <v>701</v>
      </c>
      <c r="F59" s="11" t="s">
        <v>702</v>
      </c>
      <c r="G59" s="11" t="s">
        <v>703</v>
      </c>
      <c r="H59" s="27" t="s">
        <v>457</v>
      </c>
      <c r="I59" s="28" t="s">
        <v>432</v>
      </c>
      <c r="J59" s="11" t="s">
        <v>683</v>
      </c>
      <c r="K59" s="29" t="s">
        <v>704</v>
      </c>
      <c r="L59" s="30" t="s">
        <v>705</v>
      </c>
      <c r="M59" s="11" t="s">
        <v>592</v>
      </c>
      <c r="N59" s="11" t="s">
        <v>437</v>
      </c>
    </row>
    <row r="60" spans="1:14" ht="103.5" hidden="1" customHeight="1">
      <c r="A60" s="26" t="s">
        <v>159</v>
      </c>
      <c r="B60" s="10" t="s">
        <v>35</v>
      </c>
      <c r="C60" s="11" t="s">
        <v>148</v>
      </c>
      <c r="D60" s="24" t="s">
        <v>160</v>
      </c>
      <c r="E60" s="11" t="s">
        <v>706</v>
      </c>
      <c r="F60" s="11" t="s">
        <v>707</v>
      </c>
      <c r="G60" s="11" t="s">
        <v>708</v>
      </c>
      <c r="H60" s="27" t="s">
        <v>528</v>
      </c>
      <c r="I60" s="28" t="s">
        <v>432</v>
      </c>
      <c r="J60" s="11" t="s">
        <v>683</v>
      </c>
      <c r="K60" s="29" t="s">
        <v>709</v>
      </c>
      <c r="L60" s="30" t="s">
        <v>710</v>
      </c>
      <c r="M60" s="11" t="s">
        <v>592</v>
      </c>
      <c r="N60" s="11" t="s">
        <v>437</v>
      </c>
    </row>
    <row r="61" spans="1:14" ht="103.5" hidden="1" customHeight="1">
      <c r="A61" s="26" t="s">
        <v>161</v>
      </c>
      <c r="B61" s="10" t="s">
        <v>35</v>
      </c>
      <c r="C61" s="11" t="s">
        <v>148</v>
      </c>
      <c r="D61" s="24" t="s">
        <v>162</v>
      </c>
      <c r="E61" s="11" t="s">
        <v>711</v>
      </c>
      <c r="F61" s="11" t="s">
        <v>712</v>
      </c>
      <c r="G61" s="11" t="s">
        <v>713</v>
      </c>
      <c r="H61" s="27" t="s">
        <v>522</v>
      </c>
      <c r="I61" s="25" t="s">
        <v>66</v>
      </c>
      <c r="J61" s="11" t="s">
        <v>683</v>
      </c>
      <c r="K61" s="29" t="s">
        <v>714</v>
      </c>
      <c r="L61" s="30" t="s">
        <v>715</v>
      </c>
      <c r="M61" s="11" t="s">
        <v>592</v>
      </c>
      <c r="N61" s="11" t="s">
        <v>437</v>
      </c>
    </row>
    <row r="62" spans="1:14" ht="103.5" hidden="1" customHeight="1">
      <c r="A62" s="26" t="s">
        <v>163</v>
      </c>
      <c r="B62" s="10" t="s">
        <v>35</v>
      </c>
      <c r="C62" s="11" t="s">
        <v>148</v>
      </c>
      <c r="D62" s="24" t="s">
        <v>164</v>
      </c>
      <c r="E62" s="11" t="s">
        <v>716</v>
      </c>
      <c r="F62" s="11" t="s">
        <v>717</v>
      </c>
      <c r="G62" s="11" t="s">
        <v>718</v>
      </c>
      <c r="H62" s="27" t="s">
        <v>473</v>
      </c>
      <c r="I62" s="28" t="s">
        <v>432</v>
      </c>
      <c r="J62" s="11" t="s">
        <v>683</v>
      </c>
      <c r="K62" s="29" t="s">
        <v>719</v>
      </c>
      <c r="L62" s="30" t="s">
        <v>720</v>
      </c>
      <c r="M62" s="11" t="s">
        <v>592</v>
      </c>
      <c r="N62" s="11" t="s">
        <v>437</v>
      </c>
    </row>
    <row r="63" spans="1:14" ht="103.5" hidden="1" customHeight="1">
      <c r="A63" s="26" t="s">
        <v>165</v>
      </c>
      <c r="B63" s="10" t="s">
        <v>35</v>
      </c>
      <c r="C63" s="11" t="s">
        <v>148</v>
      </c>
      <c r="D63" s="24" t="s">
        <v>166</v>
      </c>
      <c r="E63" s="11" t="s">
        <v>721</v>
      </c>
      <c r="F63" s="11" t="s">
        <v>722</v>
      </c>
      <c r="G63" s="11" t="s">
        <v>688</v>
      </c>
      <c r="H63" s="27" t="s">
        <v>457</v>
      </c>
      <c r="I63" s="28" t="s">
        <v>432</v>
      </c>
      <c r="J63" s="11" t="s">
        <v>683</v>
      </c>
      <c r="K63" s="29" t="s">
        <v>723</v>
      </c>
      <c r="L63" s="30" t="s">
        <v>724</v>
      </c>
      <c r="M63" s="11" t="s">
        <v>592</v>
      </c>
      <c r="N63" s="11" t="s">
        <v>437</v>
      </c>
    </row>
    <row r="64" spans="1:14" ht="103.5" hidden="1" customHeight="1">
      <c r="A64" s="26" t="s">
        <v>167</v>
      </c>
      <c r="B64" s="10" t="s">
        <v>35</v>
      </c>
      <c r="C64" s="11" t="s">
        <v>148</v>
      </c>
      <c r="D64" s="24" t="s">
        <v>168</v>
      </c>
      <c r="E64" s="11" t="s">
        <v>725</v>
      </c>
      <c r="F64" s="11" t="s">
        <v>726</v>
      </c>
      <c r="G64" s="11" t="s">
        <v>727</v>
      </c>
      <c r="H64" s="27" t="s">
        <v>479</v>
      </c>
      <c r="I64" s="25" t="s">
        <v>66</v>
      </c>
      <c r="J64" s="11" t="s">
        <v>683</v>
      </c>
      <c r="K64" s="29" t="s">
        <v>728</v>
      </c>
      <c r="L64" s="30" t="s">
        <v>729</v>
      </c>
      <c r="M64" s="11" t="s">
        <v>592</v>
      </c>
      <c r="N64" s="11" t="s">
        <v>437</v>
      </c>
    </row>
    <row r="65" spans="1:14" ht="103.5" hidden="1" customHeight="1">
      <c r="A65" s="26" t="s">
        <v>169</v>
      </c>
      <c r="B65" s="16" t="s">
        <v>170</v>
      </c>
      <c r="C65" s="11" t="s">
        <v>171</v>
      </c>
      <c r="D65" s="24" t="s">
        <v>172</v>
      </c>
      <c r="E65" s="11" t="s">
        <v>730</v>
      </c>
      <c r="F65" s="11" t="s">
        <v>731</v>
      </c>
      <c r="G65" s="11" t="s">
        <v>489</v>
      </c>
      <c r="H65" s="31" t="s">
        <v>490</v>
      </c>
      <c r="I65" s="25" t="s">
        <v>66</v>
      </c>
      <c r="J65" s="11" t="s">
        <v>732</v>
      </c>
      <c r="K65" s="29" t="s">
        <v>733</v>
      </c>
      <c r="L65" s="30" t="s">
        <v>734</v>
      </c>
      <c r="M65" s="11" t="s">
        <v>735</v>
      </c>
      <c r="N65" s="11" t="s">
        <v>437</v>
      </c>
    </row>
    <row r="66" spans="1:14" ht="103.5" hidden="1" customHeight="1">
      <c r="A66" s="26" t="s">
        <v>174</v>
      </c>
      <c r="B66" s="16" t="s">
        <v>170</v>
      </c>
      <c r="C66" s="11" t="s">
        <v>171</v>
      </c>
      <c r="D66" s="24" t="s">
        <v>175</v>
      </c>
      <c r="E66" s="11" t="s">
        <v>736</v>
      </c>
      <c r="F66" s="11" t="s">
        <v>737</v>
      </c>
      <c r="G66" s="11" t="s">
        <v>489</v>
      </c>
      <c r="H66" s="31" t="s">
        <v>490</v>
      </c>
      <c r="I66" s="25" t="s">
        <v>66</v>
      </c>
      <c r="J66" s="11" t="s">
        <v>732</v>
      </c>
      <c r="K66" s="29" t="s">
        <v>738</v>
      </c>
      <c r="L66" s="30" t="s">
        <v>739</v>
      </c>
      <c r="M66" s="11" t="s">
        <v>735</v>
      </c>
      <c r="N66" s="11" t="s">
        <v>437</v>
      </c>
    </row>
    <row r="67" spans="1:14" ht="103.5" hidden="1" customHeight="1">
      <c r="A67" s="26" t="s">
        <v>176</v>
      </c>
      <c r="B67" s="16" t="s">
        <v>170</v>
      </c>
      <c r="C67" s="11" t="s">
        <v>171</v>
      </c>
      <c r="D67" s="24" t="s">
        <v>177</v>
      </c>
      <c r="E67" s="11" t="s">
        <v>740</v>
      </c>
      <c r="F67" s="11" t="s">
        <v>741</v>
      </c>
      <c r="G67" s="11" t="s">
        <v>489</v>
      </c>
      <c r="H67" s="31" t="s">
        <v>490</v>
      </c>
      <c r="I67" s="25" t="s">
        <v>66</v>
      </c>
      <c r="J67" s="11" t="s">
        <v>732</v>
      </c>
      <c r="K67" s="29" t="s">
        <v>742</v>
      </c>
      <c r="L67" s="30" t="s">
        <v>743</v>
      </c>
      <c r="M67" s="11" t="s">
        <v>735</v>
      </c>
      <c r="N67" s="11" t="s">
        <v>437</v>
      </c>
    </row>
    <row r="68" spans="1:14" ht="103.5" hidden="1" customHeight="1">
      <c r="A68" s="26" t="s">
        <v>178</v>
      </c>
      <c r="B68" s="16" t="s">
        <v>170</v>
      </c>
      <c r="C68" s="11" t="s">
        <v>171</v>
      </c>
      <c r="D68" s="24" t="s">
        <v>179</v>
      </c>
      <c r="E68" s="11" t="s">
        <v>744</v>
      </c>
      <c r="F68" s="11" t="s">
        <v>745</v>
      </c>
      <c r="G68" s="11" t="s">
        <v>489</v>
      </c>
      <c r="H68" s="31" t="s">
        <v>490</v>
      </c>
      <c r="I68" s="25" t="s">
        <v>66</v>
      </c>
      <c r="J68" s="11" t="s">
        <v>732</v>
      </c>
      <c r="K68" s="29" t="s">
        <v>746</v>
      </c>
      <c r="L68" s="30" t="s">
        <v>747</v>
      </c>
      <c r="M68" s="11" t="s">
        <v>735</v>
      </c>
      <c r="N68" s="11" t="s">
        <v>437</v>
      </c>
    </row>
    <row r="69" spans="1:14" ht="103.5" hidden="1" customHeight="1">
      <c r="A69" s="26" t="s">
        <v>180</v>
      </c>
      <c r="B69" s="16" t="s">
        <v>170</v>
      </c>
      <c r="C69" s="11" t="s">
        <v>171</v>
      </c>
      <c r="D69" s="24" t="s">
        <v>181</v>
      </c>
      <c r="E69" s="11" t="s">
        <v>748</v>
      </c>
      <c r="F69" s="11" t="s">
        <v>749</v>
      </c>
      <c r="G69" s="11" t="s">
        <v>489</v>
      </c>
      <c r="H69" s="31" t="s">
        <v>490</v>
      </c>
      <c r="I69" s="25" t="s">
        <v>66</v>
      </c>
      <c r="J69" s="11" t="s">
        <v>732</v>
      </c>
      <c r="K69" s="29" t="s">
        <v>750</v>
      </c>
      <c r="L69" s="30" t="s">
        <v>751</v>
      </c>
      <c r="M69" s="11" t="s">
        <v>735</v>
      </c>
      <c r="N69" s="11" t="s">
        <v>437</v>
      </c>
    </row>
    <row r="70" spans="1:14" ht="103.5" hidden="1" customHeight="1">
      <c r="A70" s="26" t="s">
        <v>182</v>
      </c>
      <c r="B70" s="16" t="s">
        <v>170</v>
      </c>
      <c r="C70" s="11" t="s">
        <v>171</v>
      </c>
      <c r="D70" s="24" t="s">
        <v>183</v>
      </c>
      <c r="E70" s="11" t="s">
        <v>752</v>
      </c>
      <c r="F70" s="11" t="s">
        <v>753</v>
      </c>
      <c r="G70" s="11" t="s">
        <v>489</v>
      </c>
      <c r="H70" s="31" t="s">
        <v>490</v>
      </c>
      <c r="I70" s="25" t="s">
        <v>66</v>
      </c>
      <c r="J70" s="11" t="s">
        <v>732</v>
      </c>
      <c r="K70" s="29" t="s">
        <v>754</v>
      </c>
      <c r="L70" s="30" t="s">
        <v>755</v>
      </c>
      <c r="M70" s="11" t="s">
        <v>735</v>
      </c>
      <c r="N70" s="11" t="s">
        <v>437</v>
      </c>
    </row>
    <row r="71" spans="1:14" ht="103.5" hidden="1" customHeight="1">
      <c r="A71" s="26" t="s">
        <v>184</v>
      </c>
      <c r="B71" s="16" t="s">
        <v>170</v>
      </c>
      <c r="C71" s="11" t="s">
        <v>171</v>
      </c>
      <c r="D71" s="24" t="s">
        <v>185</v>
      </c>
      <c r="E71" s="11" t="s">
        <v>756</v>
      </c>
      <c r="F71" s="11" t="s">
        <v>757</v>
      </c>
      <c r="G71" s="11" t="s">
        <v>489</v>
      </c>
      <c r="H71" s="31" t="s">
        <v>490</v>
      </c>
      <c r="I71" s="25" t="s">
        <v>66</v>
      </c>
      <c r="J71" s="11" t="s">
        <v>732</v>
      </c>
      <c r="K71" s="29" t="s">
        <v>758</v>
      </c>
      <c r="L71" s="30" t="s">
        <v>759</v>
      </c>
      <c r="M71" s="11" t="s">
        <v>735</v>
      </c>
      <c r="N71" s="11" t="s">
        <v>437</v>
      </c>
    </row>
    <row r="72" spans="1:14" ht="103.5" hidden="1" customHeight="1">
      <c r="A72" s="26" t="s">
        <v>186</v>
      </c>
      <c r="B72" s="16" t="s">
        <v>170</v>
      </c>
      <c r="C72" s="11" t="s">
        <v>171</v>
      </c>
      <c r="D72" s="24" t="s">
        <v>187</v>
      </c>
      <c r="E72" s="11" t="s">
        <v>760</v>
      </c>
      <c r="F72" s="11" t="s">
        <v>761</v>
      </c>
      <c r="G72" s="11" t="s">
        <v>489</v>
      </c>
      <c r="H72" s="31" t="s">
        <v>490</v>
      </c>
      <c r="I72" s="25" t="s">
        <v>66</v>
      </c>
      <c r="J72" s="11" t="s">
        <v>732</v>
      </c>
      <c r="K72" s="29" t="s">
        <v>762</v>
      </c>
      <c r="L72" s="30" t="s">
        <v>763</v>
      </c>
      <c r="M72" s="11" t="s">
        <v>735</v>
      </c>
      <c r="N72" s="11" t="s">
        <v>437</v>
      </c>
    </row>
    <row r="73" spans="1:14" ht="103.5" hidden="1" customHeight="1">
      <c r="A73" s="26" t="s">
        <v>188</v>
      </c>
      <c r="B73" s="16" t="s">
        <v>170</v>
      </c>
      <c r="C73" s="11" t="s">
        <v>171</v>
      </c>
      <c r="D73" s="24" t="s">
        <v>189</v>
      </c>
      <c r="E73" s="11" t="s">
        <v>764</v>
      </c>
      <c r="F73" s="11" t="s">
        <v>765</v>
      </c>
      <c r="G73" s="11" t="s">
        <v>489</v>
      </c>
      <c r="H73" s="31" t="s">
        <v>490</v>
      </c>
      <c r="I73" s="25" t="s">
        <v>66</v>
      </c>
      <c r="J73" s="11" t="s">
        <v>732</v>
      </c>
      <c r="K73" s="29" t="s">
        <v>766</v>
      </c>
      <c r="L73" s="30" t="s">
        <v>767</v>
      </c>
      <c r="M73" s="11" t="s">
        <v>735</v>
      </c>
      <c r="N73" s="11" t="s">
        <v>437</v>
      </c>
    </row>
    <row r="74" spans="1:14" ht="103.5" hidden="1" customHeight="1">
      <c r="A74" s="26" t="s">
        <v>190</v>
      </c>
      <c r="B74" s="16" t="s">
        <v>170</v>
      </c>
      <c r="C74" s="11" t="s">
        <v>171</v>
      </c>
      <c r="D74" s="24" t="s">
        <v>191</v>
      </c>
      <c r="E74" s="11" t="s">
        <v>768</v>
      </c>
      <c r="F74" s="11" t="s">
        <v>769</v>
      </c>
      <c r="G74" s="11" t="s">
        <v>770</v>
      </c>
      <c r="H74" s="27" t="s">
        <v>457</v>
      </c>
      <c r="I74" s="28" t="s">
        <v>432</v>
      </c>
      <c r="J74" s="11" t="s">
        <v>732</v>
      </c>
      <c r="K74" s="29" t="s">
        <v>771</v>
      </c>
      <c r="L74" s="30" t="s">
        <v>772</v>
      </c>
      <c r="M74" s="11" t="s">
        <v>735</v>
      </c>
      <c r="N74" s="11" t="s">
        <v>437</v>
      </c>
    </row>
    <row r="75" spans="1:14" ht="103.5" hidden="1" customHeight="1">
      <c r="A75" s="26" t="s">
        <v>192</v>
      </c>
      <c r="B75" s="16" t="s">
        <v>170</v>
      </c>
      <c r="C75" s="11" t="s">
        <v>193</v>
      </c>
      <c r="D75" s="24" t="s">
        <v>194</v>
      </c>
      <c r="E75" s="11" t="s">
        <v>773</v>
      </c>
      <c r="F75" s="11" t="s">
        <v>774</v>
      </c>
      <c r="G75" s="11" t="s">
        <v>775</v>
      </c>
      <c r="H75" s="27" t="s">
        <v>528</v>
      </c>
      <c r="I75" s="28" t="s">
        <v>432</v>
      </c>
      <c r="J75" s="11" t="s">
        <v>776</v>
      </c>
      <c r="K75" s="29" t="s">
        <v>777</v>
      </c>
      <c r="L75" s="30" t="s">
        <v>778</v>
      </c>
      <c r="M75" s="11" t="s">
        <v>779</v>
      </c>
      <c r="N75" s="11" t="s">
        <v>437</v>
      </c>
    </row>
    <row r="76" spans="1:14" ht="103.5" hidden="1" customHeight="1">
      <c r="A76" s="26" t="s">
        <v>195</v>
      </c>
      <c r="B76" s="16" t="s">
        <v>170</v>
      </c>
      <c r="C76" s="11" t="s">
        <v>193</v>
      </c>
      <c r="D76" s="24" t="s">
        <v>196</v>
      </c>
      <c r="E76" s="11" t="s">
        <v>780</v>
      </c>
      <c r="F76" s="11" t="s">
        <v>781</v>
      </c>
      <c r="G76" s="11" t="s">
        <v>579</v>
      </c>
      <c r="H76" s="27" t="s">
        <v>528</v>
      </c>
      <c r="I76" s="28" t="s">
        <v>432</v>
      </c>
      <c r="J76" s="11" t="s">
        <v>776</v>
      </c>
      <c r="K76" s="29" t="s">
        <v>782</v>
      </c>
      <c r="L76" s="30" t="s">
        <v>783</v>
      </c>
      <c r="M76" s="11" t="s">
        <v>779</v>
      </c>
      <c r="N76" s="11" t="s">
        <v>437</v>
      </c>
    </row>
    <row r="77" spans="1:14" ht="103.5" hidden="1" customHeight="1">
      <c r="A77" s="26" t="s">
        <v>197</v>
      </c>
      <c r="B77" s="16" t="s">
        <v>170</v>
      </c>
      <c r="C77" s="11" t="s">
        <v>193</v>
      </c>
      <c r="D77" s="24" t="s">
        <v>198</v>
      </c>
      <c r="E77" s="11" t="s">
        <v>784</v>
      </c>
      <c r="F77" s="11" t="s">
        <v>785</v>
      </c>
      <c r="G77" s="11" t="s">
        <v>579</v>
      </c>
      <c r="H77" s="27" t="s">
        <v>528</v>
      </c>
      <c r="I77" s="28" t="s">
        <v>432</v>
      </c>
      <c r="J77" s="11" t="s">
        <v>776</v>
      </c>
      <c r="K77" s="29" t="s">
        <v>786</v>
      </c>
      <c r="L77" s="30" t="s">
        <v>787</v>
      </c>
      <c r="M77" s="11" t="s">
        <v>779</v>
      </c>
      <c r="N77" s="11" t="s">
        <v>437</v>
      </c>
    </row>
    <row r="78" spans="1:14" ht="103.5" hidden="1" customHeight="1">
      <c r="A78" s="26" t="s">
        <v>199</v>
      </c>
      <c r="B78" s="16" t="s">
        <v>170</v>
      </c>
      <c r="C78" s="11" t="s">
        <v>193</v>
      </c>
      <c r="D78" s="24" t="s">
        <v>200</v>
      </c>
      <c r="E78" s="11" t="s">
        <v>788</v>
      </c>
      <c r="F78" s="11" t="s">
        <v>789</v>
      </c>
      <c r="G78" s="11" t="s">
        <v>579</v>
      </c>
      <c r="H78" s="27" t="s">
        <v>528</v>
      </c>
      <c r="I78" s="28" t="s">
        <v>432</v>
      </c>
      <c r="J78" s="11" t="s">
        <v>776</v>
      </c>
      <c r="K78" s="29" t="s">
        <v>790</v>
      </c>
      <c r="L78" s="30" t="s">
        <v>791</v>
      </c>
      <c r="M78" s="11" t="s">
        <v>779</v>
      </c>
      <c r="N78" s="11" t="s">
        <v>437</v>
      </c>
    </row>
    <row r="79" spans="1:14" ht="103.5" hidden="1" customHeight="1">
      <c r="A79" s="26" t="s">
        <v>201</v>
      </c>
      <c r="B79" s="16" t="s">
        <v>170</v>
      </c>
      <c r="C79" s="11" t="s">
        <v>193</v>
      </c>
      <c r="D79" s="24" t="s">
        <v>202</v>
      </c>
      <c r="E79" s="11" t="s">
        <v>792</v>
      </c>
      <c r="F79" s="11" t="s">
        <v>793</v>
      </c>
      <c r="G79" s="11" t="s">
        <v>794</v>
      </c>
      <c r="H79" s="27" t="s">
        <v>479</v>
      </c>
      <c r="I79" s="25" t="s">
        <v>66</v>
      </c>
      <c r="J79" s="11" t="s">
        <v>776</v>
      </c>
      <c r="K79" s="29" t="s">
        <v>795</v>
      </c>
      <c r="L79" s="30" t="s">
        <v>796</v>
      </c>
      <c r="M79" s="11" t="s">
        <v>779</v>
      </c>
      <c r="N79" s="11" t="s">
        <v>437</v>
      </c>
    </row>
    <row r="80" spans="1:14" ht="103.5" hidden="1" customHeight="1">
      <c r="A80" s="26" t="s">
        <v>203</v>
      </c>
      <c r="B80" s="16" t="s">
        <v>170</v>
      </c>
      <c r="C80" s="11" t="s">
        <v>193</v>
      </c>
      <c r="D80" s="24" t="s">
        <v>204</v>
      </c>
      <c r="E80" s="11" t="s">
        <v>797</v>
      </c>
      <c r="F80" s="11" t="s">
        <v>798</v>
      </c>
      <c r="G80" s="11" t="s">
        <v>799</v>
      </c>
      <c r="H80" s="27" t="s">
        <v>528</v>
      </c>
      <c r="I80" s="28" t="s">
        <v>432</v>
      </c>
      <c r="J80" s="11" t="s">
        <v>776</v>
      </c>
      <c r="K80" s="29" t="s">
        <v>800</v>
      </c>
      <c r="L80" s="30" t="s">
        <v>801</v>
      </c>
      <c r="M80" s="11" t="s">
        <v>779</v>
      </c>
      <c r="N80" s="11" t="s">
        <v>437</v>
      </c>
    </row>
    <row r="81" spans="1:14" ht="103.5" hidden="1" customHeight="1">
      <c r="A81" s="26" t="s">
        <v>205</v>
      </c>
      <c r="B81" s="16" t="s">
        <v>170</v>
      </c>
      <c r="C81" s="11" t="s">
        <v>193</v>
      </c>
      <c r="D81" s="24" t="s">
        <v>206</v>
      </c>
      <c r="E81" s="11" t="s">
        <v>802</v>
      </c>
      <c r="F81" s="11" t="s">
        <v>803</v>
      </c>
      <c r="G81" s="11" t="s">
        <v>579</v>
      </c>
      <c r="H81" s="27" t="s">
        <v>528</v>
      </c>
      <c r="I81" s="28" t="s">
        <v>432</v>
      </c>
      <c r="J81" s="11" t="s">
        <v>776</v>
      </c>
      <c r="K81" s="29" t="s">
        <v>804</v>
      </c>
      <c r="L81" s="30" t="s">
        <v>805</v>
      </c>
      <c r="M81" s="11" t="s">
        <v>779</v>
      </c>
      <c r="N81" s="11" t="s">
        <v>437</v>
      </c>
    </row>
    <row r="82" spans="1:14" ht="103.5" hidden="1" customHeight="1">
      <c r="A82" s="26" t="s">
        <v>207</v>
      </c>
      <c r="B82" s="16" t="s">
        <v>170</v>
      </c>
      <c r="C82" s="11" t="s">
        <v>193</v>
      </c>
      <c r="D82" s="24" t="s">
        <v>208</v>
      </c>
      <c r="E82" s="11" t="s">
        <v>806</v>
      </c>
      <c r="F82" s="11" t="s">
        <v>807</v>
      </c>
      <c r="G82" s="11" t="s">
        <v>559</v>
      </c>
      <c r="H82" s="27" t="s">
        <v>528</v>
      </c>
      <c r="I82" s="28" t="s">
        <v>432</v>
      </c>
      <c r="J82" s="11" t="s">
        <v>776</v>
      </c>
      <c r="K82" s="29" t="s">
        <v>808</v>
      </c>
      <c r="L82" s="30" t="s">
        <v>809</v>
      </c>
      <c r="M82" s="11" t="s">
        <v>779</v>
      </c>
      <c r="N82" s="11" t="s">
        <v>437</v>
      </c>
    </row>
    <row r="83" spans="1:14" ht="103.5" hidden="1" customHeight="1">
      <c r="A83" s="26" t="s">
        <v>209</v>
      </c>
      <c r="B83" s="16" t="s">
        <v>170</v>
      </c>
      <c r="C83" s="11" t="s">
        <v>193</v>
      </c>
      <c r="D83" s="24" t="s">
        <v>210</v>
      </c>
      <c r="E83" s="11" t="s">
        <v>810</v>
      </c>
      <c r="F83" s="11" t="s">
        <v>811</v>
      </c>
      <c r="G83" s="11" t="s">
        <v>489</v>
      </c>
      <c r="H83" s="31" t="s">
        <v>490</v>
      </c>
      <c r="I83" s="25" t="s">
        <v>66</v>
      </c>
      <c r="J83" s="11" t="s">
        <v>776</v>
      </c>
      <c r="K83" s="29" t="s">
        <v>812</v>
      </c>
      <c r="L83" s="30" t="s">
        <v>813</v>
      </c>
      <c r="M83" s="11" t="s">
        <v>779</v>
      </c>
      <c r="N83" s="11" t="s">
        <v>437</v>
      </c>
    </row>
    <row r="84" spans="1:14" ht="103.5" hidden="1" customHeight="1">
      <c r="A84" s="26" t="s">
        <v>211</v>
      </c>
      <c r="B84" s="16" t="s">
        <v>170</v>
      </c>
      <c r="C84" s="11" t="s">
        <v>193</v>
      </c>
      <c r="D84" s="24" t="s">
        <v>212</v>
      </c>
      <c r="E84" s="11" t="s">
        <v>814</v>
      </c>
      <c r="F84" s="11" t="s">
        <v>815</v>
      </c>
      <c r="G84" s="11" t="s">
        <v>816</v>
      </c>
      <c r="H84" s="27" t="s">
        <v>479</v>
      </c>
      <c r="I84" s="25" t="s">
        <v>66</v>
      </c>
      <c r="J84" s="11" t="s">
        <v>776</v>
      </c>
      <c r="K84" s="29" t="s">
        <v>817</v>
      </c>
      <c r="L84" s="30" t="s">
        <v>818</v>
      </c>
      <c r="M84" s="11" t="s">
        <v>779</v>
      </c>
      <c r="N84" s="11" t="s">
        <v>437</v>
      </c>
    </row>
    <row r="85" spans="1:14" ht="103.5" hidden="1" customHeight="1">
      <c r="A85" s="26" t="s">
        <v>213</v>
      </c>
      <c r="B85" s="16" t="s">
        <v>170</v>
      </c>
      <c r="C85" s="11" t="s">
        <v>214</v>
      </c>
      <c r="D85" s="24" t="s">
        <v>215</v>
      </c>
      <c r="E85" s="11" t="s">
        <v>819</v>
      </c>
      <c r="F85" s="11" t="s">
        <v>820</v>
      </c>
      <c r="G85" s="11" t="s">
        <v>821</v>
      </c>
      <c r="H85" s="27" t="s">
        <v>822</v>
      </c>
      <c r="I85" s="28" t="s">
        <v>432</v>
      </c>
      <c r="J85" s="11" t="s">
        <v>823</v>
      </c>
      <c r="K85" s="29" t="s">
        <v>824</v>
      </c>
      <c r="L85" s="30" t="s">
        <v>825</v>
      </c>
      <c r="M85" s="11" t="s">
        <v>826</v>
      </c>
      <c r="N85" s="11" t="s">
        <v>437</v>
      </c>
    </row>
    <row r="86" spans="1:14" ht="103.5" hidden="1" customHeight="1">
      <c r="A86" s="26" t="s">
        <v>217</v>
      </c>
      <c r="B86" s="16" t="s">
        <v>170</v>
      </c>
      <c r="C86" s="11" t="s">
        <v>214</v>
      </c>
      <c r="D86" s="24" t="s">
        <v>218</v>
      </c>
      <c r="E86" s="11" t="s">
        <v>827</v>
      </c>
      <c r="F86" s="11" t="s">
        <v>828</v>
      </c>
      <c r="G86" s="11" t="s">
        <v>829</v>
      </c>
      <c r="H86" s="27" t="s">
        <v>822</v>
      </c>
      <c r="I86" s="28" t="s">
        <v>432</v>
      </c>
      <c r="J86" s="11" t="s">
        <v>823</v>
      </c>
      <c r="K86" s="29" t="s">
        <v>830</v>
      </c>
      <c r="L86" s="30" t="s">
        <v>831</v>
      </c>
      <c r="M86" s="11" t="s">
        <v>826</v>
      </c>
      <c r="N86" s="11" t="s">
        <v>437</v>
      </c>
    </row>
    <row r="87" spans="1:14" ht="103.5" hidden="1" customHeight="1">
      <c r="A87" s="26" t="s">
        <v>219</v>
      </c>
      <c r="B87" s="16" t="s">
        <v>170</v>
      </c>
      <c r="C87" s="11" t="s">
        <v>214</v>
      </c>
      <c r="D87" s="24" t="s">
        <v>220</v>
      </c>
      <c r="E87" s="11" t="s">
        <v>832</v>
      </c>
      <c r="F87" s="11" t="s">
        <v>833</v>
      </c>
      <c r="G87" s="11" t="s">
        <v>489</v>
      </c>
      <c r="H87" s="31" t="s">
        <v>490</v>
      </c>
      <c r="I87" s="25" t="s">
        <v>66</v>
      </c>
      <c r="J87" s="11" t="s">
        <v>823</v>
      </c>
      <c r="K87" s="29" t="s">
        <v>834</v>
      </c>
      <c r="L87" s="30" t="s">
        <v>835</v>
      </c>
      <c r="M87" s="11" t="s">
        <v>826</v>
      </c>
      <c r="N87" s="11" t="s">
        <v>437</v>
      </c>
    </row>
    <row r="88" spans="1:14" ht="103.5" hidden="1" customHeight="1">
      <c r="A88" s="26" t="s">
        <v>221</v>
      </c>
      <c r="B88" s="16" t="s">
        <v>170</v>
      </c>
      <c r="C88" s="11" t="s">
        <v>214</v>
      </c>
      <c r="D88" s="24" t="s">
        <v>222</v>
      </c>
      <c r="E88" s="11" t="s">
        <v>836</v>
      </c>
      <c r="F88" s="11" t="s">
        <v>837</v>
      </c>
      <c r="G88" s="11" t="s">
        <v>838</v>
      </c>
      <c r="H88" s="27" t="s">
        <v>839</v>
      </c>
      <c r="I88" s="28" t="s">
        <v>432</v>
      </c>
      <c r="J88" s="11" t="s">
        <v>823</v>
      </c>
      <c r="K88" s="29" t="s">
        <v>840</v>
      </c>
      <c r="L88" s="30" t="s">
        <v>841</v>
      </c>
      <c r="M88" s="11" t="s">
        <v>826</v>
      </c>
      <c r="N88" s="11" t="s">
        <v>437</v>
      </c>
    </row>
    <row r="89" spans="1:14" ht="103.5" hidden="1" customHeight="1">
      <c r="A89" s="26" t="s">
        <v>223</v>
      </c>
      <c r="B89" s="16" t="s">
        <v>170</v>
      </c>
      <c r="C89" s="11" t="s">
        <v>214</v>
      </c>
      <c r="D89" s="24" t="s">
        <v>224</v>
      </c>
      <c r="E89" s="11" t="s">
        <v>842</v>
      </c>
      <c r="F89" s="11" t="s">
        <v>843</v>
      </c>
      <c r="G89" s="11" t="s">
        <v>489</v>
      </c>
      <c r="H89" s="31" t="s">
        <v>490</v>
      </c>
      <c r="I89" s="25" t="s">
        <v>66</v>
      </c>
      <c r="J89" s="11" t="s">
        <v>823</v>
      </c>
      <c r="K89" s="29" t="s">
        <v>844</v>
      </c>
      <c r="L89" s="30" t="s">
        <v>845</v>
      </c>
      <c r="M89" s="11" t="s">
        <v>826</v>
      </c>
      <c r="N89" s="11" t="s">
        <v>437</v>
      </c>
    </row>
    <row r="90" spans="1:14" ht="103.5" hidden="1" customHeight="1">
      <c r="A90" s="26" t="s">
        <v>225</v>
      </c>
      <c r="B90" s="16" t="s">
        <v>170</v>
      </c>
      <c r="C90" s="11" t="s">
        <v>214</v>
      </c>
      <c r="D90" s="24" t="s">
        <v>226</v>
      </c>
      <c r="E90" s="11" t="s">
        <v>846</v>
      </c>
      <c r="F90" s="11" t="s">
        <v>847</v>
      </c>
      <c r="G90" s="11" t="s">
        <v>579</v>
      </c>
      <c r="H90" s="27" t="s">
        <v>822</v>
      </c>
      <c r="I90" s="28" t="s">
        <v>432</v>
      </c>
      <c r="J90" s="11" t="s">
        <v>823</v>
      </c>
      <c r="K90" s="29" t="s">
        <v>848</v>
      </c>
      <c r="L90" s="30" t="s">
        <v>849</v>
      </c>
      <c r="M90" s="11" t="s">
        <v>826</v>
      </c>
      <c r="N90" s="11" t="s">
        <v>437</v>
      </c>
    </row>
    <row r="91" spans="1:14" ht="103.5" hidden="1" customHeight="1">
      <c r="A91" s="26" t="s">
        <v>227</v>
      </c>
      <c r="B91" s="16" t="s">
        <v>170</v>
      </c>
      <c r="C91" s="11" t="s">
        <v>214</v>
      </c>
      <c r="D91" s="24" t="s">
        <v>228</v>
      </c>
      <c r="E91" s="11" t="s">
        <v>850</v>
      </c>
      <c r="F91" s="11" t="s">
        <v>851</v>
      </c>
      <c r="G91" s="11" t="s">
        <v>489</v>
      </c>
      <c r="H91" s="31" t="s">
        <v>490</v>
      </c>
      <c r="I91" s="25" t="s">
        <v>66</v>
      </c>
      <c r="J91" s="11" t="s">
        <v>823</v>
      </c>
      <c r="K91" s="29" t="s">
        <v>852</v>
      </c>
      <c r="L91" s="30" t="s">
        <v>853</v>
      </c>
      <c r="M91" s="11" t="s">
        <v>826</v>
      </c>
      <c r="N91" s="11" t="s">
        <v>437</v>
      </c>
    </row>
    <row r="92" spans="1:14" ht="103.5" hidden="1" customHeight="1">
      <c r="A92" s="26" t="s">
        <v>229</v>
      </c>
      <c r="B92" s="16" t="s">
        <v>170</v>
      </c>
      <c r="C92" s="11" t="s">
        <v>214</v>
      </c>
      <c r="D92" s="24" t="s">
        <v>230</v>
      </c>
      <c r="E92" s="11" t="s">
        <v>854</v>
      </c>
      <c r="F92" s="11" t="s">
        <v>855</v>
      </c>
      <c r="G92" s="11" t="s">
        <v>489</v>
      </c>
      <c r="H92" s="31" t="s">
        <v>490</v>
      </c>
      <c r="I92" s="25" t="s">
        <v>66</v>
      </c>
      <c r="J92" s="11" t="s">
        <v>823</v>
      </c>
      <c r="K92" s="29" t="s">
        <v>856</v>
      </c>
      <c r="L92" s="30" t="s">
        <v>857</v>
      </c>
      <c r="M92" s="11" t="s">
        <v>826</v>
      </c>
      <c r="N92" s="11" t="s">
        <v>437</v>
      </c>
    </row>
    <row r="93" spans="1:14" ht="103.5" hidden="1" customHeight="1">
      <c r="A93" s="26" t="s">
        <v>231</v>
      </c>
      <c r="B93" s="16" t="s">
        <v>170</v>
      </c>
      <c r="C93" s="11" t="s">
        <v>214</v>
      </c>
      <c r="D93" s="24" t="s">
        <v>232</v>
      </c>
      <c r="E93" s="11" t="s">
        <v>858</v>
      </c>
      <c r="F93" s="11" t="s">
        <v>859</v>
      </c>
      <c r="G93" s="11" t="s">
        <v>489</v>
      </c>
      <c r="H93" s="31" t="s">
        <v>490</v>
      </c>
      <c r="I93" s="25" t="s">
        <v>66</v>
      </c>
      <c r="J93" s="11" t="s">
        <v>823</v>
      </c>
      <c r="K93" s="29" t="s">
        <v>860</v>
      </c>
      <c r="L93" s="30" t="s">
        <v>861</v>
      </c>
      <c r="M93" s="11" t="s">
        <v>826</v>
      </c>
      <c r="N93" s="11" t="s">
        <v>437</v>
      </c>
    </row>
    <row r="94" spans="1:14" ht="103.5" hidden="1" customHeight="1">
      <c r="A94" s="26" t="s">
        <v>233</v>
      </c>
      <c r="B94" s="16" t="s">
        <v>170</v>
      </c>
      <c r="C94" s="11" t="s">
        <v>214</v>
      </c>
      <c r="D94" s="24" t="s">
        <v>234</v>
      </c>
      <c r="E94" s="11" t="s">
        <v>862</v>
      </c>
      <c r="F94" s="11" t="s">
        <v>863</v>
      </c>
      <c r="G94" s="11" t="s">
        <v>489</v>
      </c>
      <c r="H94" s="31" t="s">
        <v>490</v>
      </c>
      <c r="I94" s="25" t="s">
        <v>66</v>
      </c>
      <c r="J94" s="11" t="s">
        <v>823</v>
      </c>
      <c r="K94" s="29" t="s">
        <v>864</v>
      </c>
      <c r="L94" s="30" t="s">
        <v>865</v>
      </c>
      <c r="M94" s="11" t="s">
        <v>826</v>
      </c>
      <c r="N94" s="11" t="s">
        <v>437</v>
      </c>
    </row>
    <row r="95" spans="1:14" ht="103.5" hidden="1" customHeight="1">
      <c r="A95" s="26" t="s">
        <v>235</v>
      </c>
      <c r="B95" s="16" t="s">
        <v>170</v>
      </c>
      <c r="C95" s="11" t="s">
        <v>236</v>
      </c>
      <c r="D95" s="24" t="s">
        <v>237</v>
      </c>
      <c r="E95" s="11" t="s">
        <v>866</v>
      </c>
      <c r="F95" s="11" t="s">
        <v>867</v>
      </c>
      <c r="G95" s="11" t="s">
        <v>868</v>
      </c>
      <c r="H95" s="27" t="s">
        <v>457</v>
      </c>
      <c r="I95" s="28" t="s">
        <v>432</v>
      </c>
      <c r="J95" s="11" t="s">
        <v>869</v>
      </c>
      <c r="K95" s="29" t="s">
        <v>870</v>
      </c>
      <c r="L95" s="30" t="s">
        <v>871</v>
      </c>
      <c r="M95" s="11" t="s">
        <v>872</v>
      </c>
      <c r="N95" s="11" t="s">
        <v>437</v>
      </c>
    </row>
    <row r="96" spans="1:14" ht="103.5" hidden="1" customHeight="1">
      <c r="A96" s="26" t="s">
        <v>239</v>
      </c>
      <c r="B96" s="16" t="s">
        <v>170</v>
      </c>
      <c r="C96" s="11" t="s">
        <v>236</v>
      </c>
      <c r="D96" s="24" t="s">
        <v>240</v>
      </c>
      <c r="E96" s="11" t="s">
        <v>873</v>
      </c>
      <c r="F96" s="11" t="s">
        <v>874</v>
      </c>
      <c r="G96" s="11" t="s">
        <v>875</v>
      </c>
      <c r="H96" s="27" t="s">
        <v>876</v>
      </c>
      <c r="I96" s="28" t="s">
        <v>432</v>
      </c>
      <c r="J96" s="11" t="s">
        <v>869</v>
      </c>
      <c r="K96" s="29" t="s">
        <v>877</v>
      </c>
      <c r="L96" s="30" t="s">
        <v>878</v>
      </c>
      <c r="M96" s="11" t="s">
        <v>872</v>
      </c>
      <c r="N96" s="11" t="s">
        <v>437</v>
      </c>
    </row>
    <row r="97" spans="1:14" ht="103.5" hidden="1" customHeight="1">
      <c r="A97" s="26" t="s">
        <v>241</v>
      </c>
      <c r="B97" s="16" t="s">
        <v>170</v>
      </c>
      <c r="C97" s="11" t="s">
        <v>236</v>
      </c>
      <c r="D97" s="24" t="s">
        <v>242</v>
      </c>
      <c r="E97" s="11" t="s">
        <v>879</v>
      </c>
      <c r="F97" s="11" t="s">
        <v>880</v>
      </c>
      <c r="G97" s="11" t="s">
        <v>881</v>
      </c>
      <c r="H97" s="27" t="s">
        <v>876</v>
      </c>
      <c r="I97" s="28" t="s">
        <v>432</v>
      </c>
      <c r="J97" s="11" t="s">
        <v>869</v>
      </c>
      <c r="K97" s="29" t="s">
        <v>882</v>
      </c>
      <c r="L97" s="30" t="s">
        <v>883</v>
      </c>
      <c r="M97" s="11" t="s">
        <v>872</v>
      </c>
      <c r="N97" s="11" t="s">
        <v>437</v>
      </c>
    </row>
    <row r="98" spans="1:14" ht="103.5" hidden="1" customHeight="1">
      <c r="A98" s="26" t="s">
        <v>243</v>
      </c>
      <c r="B98" s="16" t="s">
        <v>170</v>
      </c>
      <c r="C98" s="11" t="s">
        <v>236</v>
      </c>
      <c r="D98" s="24" t="s">
        <v>244</v>
      </c>
      <c r="E98" s="11" t="s">
        <v>884</v>
      </c>
      <c r="F98" s="11" t="s">
        <v>885</v>
      </c>
      <c r="G98" s="11" t="s">
        <v>595</v>
      </c>
      <c r="H98" s="27" t="s">
        <v>473</v>
      </c>
      <c r="I98" s="28" t="s">
        <v>432</v>
      </c>
      <c r="J98" s="11" t="s">
        <v>869</v>
      </c>
      <c r="K98" s="29" t="s">
        <v>886</v>
      </c>
      <c r="L98" s="30" t="s">
        <v>887</v>
      </c>
      <c r="M98" s="11" t="s">
        <v>872</v>
      </c>
      <c r="N98" s="11" t="s">
        <v>437</v>
      </c>
    </row>
    <row r="99" spans="1:14" ht="103.5" hidden="1" customHeight="1">
      <c r="A99" s="26" t="s">
        <v>245</v>
      </c>
      <c r="B99" s="16" t="s">
        <v>170</v>
      </c>
      <c r="C99" s="11" t="s">
        <v>236</v>
      </c>
      <c r="D99" s="24" t="s">
        <v>246</v>
      </c>
      <c r="E99" s="11" t="s">
        <v>888</v>
      </c>
      <c r="F99" s="11" t="s">
        <v>889</v>
      </c>
      <c r="G99" s="11" t="s">
        <v>579</v>
      </c>
      <c r="H99" s="27" t="s">
        <v>528</v>
      </c>
      <c r="I99" s="28" t="s">
        <v>432</v>
      </c>
      <c r="J99" s="11" t="s">
        <v>869</v>
      </c>
      <c r="K99" s="29" t="s">
        <v>890</v>
      </c>
      <c r="L99" s="30" t="s">
        <v>891</v>
      </c>
      <c r="M99" s="11" t="s">
        <v>872</v>
      </c>
      <c r="N99" s="11" t="s">
        <v>437</v>
      </c>
    </row>
    <row r="100" spans="1:14" ht="103.5" hidden="1" customHeight="1">
      <c r="A100" s="26" t="s">
        <v>247</v>
      </c>
      <c r="B100" s="16" t="s">
        <v>170</v>
      </c>
      <c r="C100" s="11" t="s">
        <v>236</v>
      </c>
      <c r="D100" s="24" t="s">
        <v>248</v>
      </c>
      <c r="E100" s="11" t="s">
        <v>892</v>
      </c>
      <c r="F100" s="11" t="s">
        <v>893</v>
      </c>
      <c r="G100" s="11" t="s">
        <v>894</v>
      </c>
      <c r="H100" s="27" t="s">
        <v>457</v>
      </c>
      <c r="I100" s="28" t="s">
        <v>432</v>
      </c>
      <c r="J100" s="11" t="s">
        <v>869</v>
      </c>
      <c r="K100" s="29" t="s">
        <v>895</v>
      </c>
      <c r="L100" s="30" t="s">
        <v>896</v>
      </c>
      <c r="M100" s="11" t="s">
        <v>872</v>
      </c>
      <c r="N100" s="11" t="s">
        <v>437</v>
      </c>
    </row>
    <row r="101" spans="1:14" ht="103.5" hidden="1" customHeight="1">
      <c r="A101" s="26" t="s">
        <v>249</v>
      </c>
      <c r="B101" s="16" t="s">
        <v>170</v>
      </c>
      <c r="C101" s="11" t="s">
        <v>236</v>
      </c>
      <c r="D101" s="24" t="s">
        <v>250</v>
      </c>
      <c r="E101" s="11" t="s">
        <v>897</v>
      </c>
      <c r="F101" s="11" t="s">
        <v>898</v>
      </c>
      <c r="G101" s="11" t="s">
        <v>899</v>
      </c>
      <c r="H101" s="27" t="s">
        <v>473</v>
      </c>
      <c r="I101" s="28" t="s">
        <v>432</v>
      </c>
      <c r="J101" s="11" t="s">
        <v>869</v>
      </c>
      <c r="K101" s="29" t="s">
        <v>900</v>
      </c>
      <c r="L101" s="30" t="s">
        <v>901</v>
      </c>
      <c r="M101" s="11" t="s">
        <v>872</v>
      </c>
      <c r="N101" s="11" t="s">
        <v>437</v>
      </c>
    </row>
    <row r="102" spans="1:14" ht="103.5" hidden="1" customHeight="1">
      <c r="A102" s="26" t="s">
        <v>251</v>
      </c>
      <c r="B102" s="16" t="s">
        <v>170</v>
      </c>
      <c r="C102" s="11" t="s">
        <v>236</v>
      </c>
      <c r="D102" s="24" t="s">
        <v>252</v>
      </c>
      <c r="E102" s="11" t="s">
        <v>902</v>
      </c>
      <c r="F102" s="11" t="s">
        <v>903</v>
      </c>
      <c r="G102" s="11" t="s">
        <v>904</v>
      </c>
      <c r="H102" s="27" t="s">
        <v>457</v>
      </c>
      <c r="I102" s="28" t="s">
        <v>432</v>
      </c>
      <c r="J102" s="11" t="s">
        <v>869</v>
      </c>
      <c r="K102" s="29" t="s">
        <v>905</v>
      </c>
      <c r="L102" s="30" t="s">
        <v>906</v>
      </c>
      <c r="M102" s="11" t="s">
        <v>872</v>
      </c>
      <c r="N102" s="11" t="s">
        <v>437</v>
      </c>
    </row>
    <row r="103" spans="1:14" ht="103.5" hidden="1" customHeight="1">
      <c r="A103" s="26" t="s">
        <v>253</v>
      </c>
      <c r="B103" s="16" t="s">
        <v>170</v>
      </c>
      <c r="C103" s="11" t="s">
        <v>236</v>
      </c>
      <c r="D103" s="24" t="s">
        <v>254</v>
      </c>
      <c r="E103" s="11" t="s">
        <v>907</v>
      </c>
      <c r="F103" s="11" t="s">
        <v>908</v>
      </c>
      <c r="G103" s="11" t="s">
        <v>794</v>
      </c>
      <c r="H103" s="27" t="s">
        <v>479</v>
      </c>
      <c r="I103" s="25" t="s">
        <v>66</v>
      </c>
      <c r="J103" s="11" t="s">
        <v>869</v>
      </c>
      <c r="K103" s="29" t="s">
        <v>909</v>
      </c>
      <c r="L103" s="30" t="s">
        <v>910</v>
      </c>
      <c r="M103" s="11" t="s">
        <v>872</v>
      </c>
      <c r="N103" s="11" t="s">
        <v>437</v>
      </c>
    </row>
    <row r="104" spans="1:14" ht="103.5" hidden="1" customHeight="1">
      <c r="A104" s="26" t="s">
        <v>255</v>
      </c>
      <c r="B104" s="16" t="s">
        <v>170</v>
      </c>
      <c r="C104" s="11" t="s">
        <v>236</v>
      </c>
      <c r="D104" s="24" t="s">
        <v>256</v>
      </c>
      <c r="E104" s="11" t="s">
        <v>911</v>
      </c>
      <c r="F104" s="11" t="s">
        <v>912</v>
      </c>
      <c r="G104" s="11" t="s">
        <v>913</v>
      </c>
      <c r="H104" s="27" t="s">
        <v>876</v>
      </c>
      <c r="I104" s="28" t="s">
        <v>432</v>
      </c>
      <c r="J104" s="11" t="s">
        <v>869</v>
      </c>
      <c r="K104" s="29" t="s">
        <v>914</v>
      </c>
      <c r="L104" s="30" t="s">
        <v>915</v>
      </c>
      <c r="M104" s="11" t="s">
        <v>872</v>
      </c>
      <c r="N104" s="11" t="s">
        <v>437</v>
      </c>
    </row>
    <row r="105" spans="1:14" ht="103.5" hidden="1" customHeight="1">
      <c r="A105" s="26" t="s">
        <v>257</v>
      </c>
      <c r="B105" s="16" t="s">
        <v>170</v>
      </c>
      <c r="C105" s="11" t="s">
        <v>258</v>
      </c>
      <c r="D105" s="24" t="s">
        <v>259</v>
      </c>
      <c r="E105" s="11" t="s">
        <v>916</v>
      </c>
      <c r="F105" s="11" t="s">
        <v>917</v>
      </c>
      <c r="G105" s="11" t="s">
        <v>918</v>
      </c>
      <c r="H105" s="27" t="s">
        <v>919</v>
      </c>
      <c r="I105" s="28" t="s">
        <v>432</v>
      </c>
      <c r="J105" s="11" t="s">
        <v>920</v>
      </c>
      <c r="K105" s="29" t="s">
        <v>921</v>
      </c>
      <c r="L105" s="30" t="s">
        <v>922</v>
      </c>
      <c r="M105" s="11" t="s">
        <v>923</v>
      </c>
      <c r="N105" s="11" t="s">
        <v>437</v>
      </c>
    </row>
    <row r="106" spans="1:14" ht="103.5" hidden="1" customHeight="1">
      <c r="A106" s="26" t="s">
        <v>260</v>
      </c>
      <c r="B106" s="16" t="s">
        <v>170</v>
      </c>
      <c r="C106" s="11" t="s">
        <v>258</v>
      </c>
      <c r="D106" s="24" t="s">
        <v>261</v>
      </c>
      <c r="E106" s="11" t="s">
        <v>924</v>
      </c>
      <c r="F106" s="11" t="s">
        <v>925</v>
      </c>
      <c r="G106" s="11" t="s">
        <v>926</v>
      </c>
      <c r="H106" s="27" t="s">
        <v>927</v>
      </c>
      <c r="I106" s="28" t="s">
        <v>432</v>
      </c>
      <c r="J106" s="11" t="s">
        <v>920</v>
      </c>
      <c r="K106" s="29" t="s">
        <v>928</v>
      </c>
      <c r="L106" s="30" t="s">
        <v>929</v>
      </c>
      <c r="M106" s="11" t="s">
        <v>923</v>
      </c>
      <c r="N106" s="11" t="s">
        <v>437</v>
      </c>
    </row>
    <row r="107" spans="1:14" ht="103.5" hidden="1" customHeight="1">
      <c r="A107" s="26" t="s">
        <v>262</v>
      </c>
      <c r="B107" s="16" t="s">
        <v>170</v>
      </c>
      <c r="C107" s="11" t="s">
        <v>258</v>
      </c>
      <c r="D107" s="24" t="s">
        <v>263</v>
      </c>
      <c r="E107" s="11" t="s">
        <v>930</v>
      </c>
      <c r="F107" s="11" t="s">
        <v>931</v>
      </c>
      <c r="G107" s="11" t="s">
        <v>932</v>
      </c>
      <c r="H107" s="27" t="s">
        <v>933</v>
      </c>
      <c r="I107" s="28" t="s">
        <v>432</v>
      </c>
      <c r="J107" s="11" t="s">
        <v>920</v>
      </c>
      <c r="K107" s="29" t="s">
        <v>934</v>
      </c>
      <c r="L107" s="30" t="s">
        <v>935</v>
      </c>
      <c r="M107" s="11" t="s">
        <v>923</v>
      </c>
      <c r="N107" s="11" t="s">
        <v>437</v>
      </c>
    </row>
    <row r="108" spans="1:14" ht="103.5" hidden="1" customHeight="1">
      <c r="A108" s="26" t="s">
        <v>264</v>
      </c>
      <c r="B108" s="16" t="s">
        <v>170</v>
      </c>
      <c r="C108" s="11" t="s">
        <v>258</v>
      </c>
      <c r="D108" s="24" t="s">
        <v>265</v>
      </c>
      <c r="E108" s="11" t="s">
        <v>936</v>
      </c>
      <c r="F108" s="11" t="s">
        <v>937</v>
      </c>
      <c r="G108" s="11" t="s">
        <v>938</v>
      </c>
      <c r="H108" s="27" t="s">
        <v>933</v>
      </c>
      <c r="I108" s="28" t="s">
        <v>432</v>
      </c>
      <c r="J108" s="11" t="s">
        <v>920</v>
      </c>
      <c r="K108" s="29" t="s">
        <v>939</v>
      </c>
      <c r="L108" s="30" t="s">
        <v>940</v>
      </c>
      <c r="M108" s="11" t="s">
        <v>923</v>
      </c>
      <c r="N108" s="11" t="s">
        <v>437</v>
      </c>
    </row>
    <row r="109" spans="1:14" ht="103.5" hidden="1" customHeight="1">
      <c r="A109" s="26" t="s">
        <v>266</v>
      </c>
      <c r="B109" s="16" t="s">
        <v>170</v>
      </c>
      <c r="C109" s="11" t="s">
        <v>258</v>
      </c>
      <c r="D109" s="24" t="s">
        <v>267</v>
      </c>
      <c r="E109" s="11" t="s">
        <v>941</v>
      </c>
      <c r="F109" s="11" t="s">
        <v>942</v>
      </c>
      <c r="G109" s="11" t="s">
        <v>943</v>
      </c>
      <c r="H109" s="27" t="s">
        <v>927</v>
      </c>
      <c r="I109" s="28" t="s">
        <v>432</v>
      </c>
      <c r="J109" s="11" t="s">
        <v>920</v>
      </c>
      <c r="K109" s="29" t="s">
        <v>944</v>
      </c>
      <c r="L109" s="30" t="s">
        <v>945</v>
      </c>
      <c r="M109" s="11" t="s">
        <v>923</v>
      </c>
      <c r="N109" s="11" t="s">
        <v>437</v>
      </c>
    </row>
    <row r="110" spans="1:14" ht="103.5" hidden="1" customHeight="1">
      <c r="A110" s="26" t="s">
        <v>268</v>
      </c>
      <c r="B110" s="16" t="s">
        <v>170</v>
      </c>
      <c r="C110" s="11" t="s">
        <v>258</v>
      </c>
      <c r="D110" s="24" t="s">
        <v>269</v>
      </c>
      <c r="E110" s="11" t="s">
        <v>946</v>
      </c>
      <c r="F110" s="11" t="s">
        <v>947</v>
      </c>
      <c r="G110" s="11" t="s">
        <v>948</v>
      </c>
      <c r="H110" s="27" t="s">
        <v>933</v>
      </c>
      <c r="I110" s="28" t="s">
        <v>432</v>
      </c>
      <c r="J110" s="11" t="s">
        <v>920</v>
      </c>
      <c r="K110" s="29" t="s">
        <v>949</v>
      </c>
      <c r="L110" s="30" t="s">
        <v>950</v>
      </c>
      <c r="M110" s="11" t="s">
        <v>923</v>
      </c>
      <c r="N110" s="11" t="s">
        <v>437</v>
      </c>
    </row>
    <row r="111" spans="1:14" ht="103.5" hidden="1" customHeight="1">
      <c r="A111" s="26" t="s">
        <v>270</v>
      </c>
      <c r="B111" s="16" t="s">
        <v>170</v>
      </c>
      <c r="C111" s="11" t="s">
        <v>258</v>
      </c>
      <c r="D111" s="24" t="s">
        <v>271</v>
      </c>
      <c r="E111" s="11" t="s">
        <v>951</v>
      </c>
      <c r="F111" s="11" t="s">
        <v>952</v>
      </c>
      <c r="G111" s="11" t="s">
        <v>953</v>
      </c>
      <c r="H111" s="27" t="s">
        <v>933</v>
      </c>
      <c r="I111" s="28" t="s">
        <v>432</v>
      </c>
      <c r="J111" s="11" t="s">
        <v>920</v>
      </c>
      <c r="K111" s="29" t="s">
        <v>954</v>
      </c>
      <c r="L111" s="30" t="s">
        <v>955</v>
      </c>
      <c r="M111" s="11" t="s">
        <v>923</v>
      </c>
      <c r="N111" s="11" t="s">
        <v>437</v>
      </c>
    </row>
    <row r="112" spans="1:14" ht="103.5" hidden="1" customHeight="1">
      <c r="A112" s="26" t="s">
        <v>272</v>
      </c>
      <c r="B112" s="16" t="s">
        <v>170</v>
      </c>
      <c r="C112" s="11" t="s">
        <v>258</v>
      </c>
      <c r="D112" s="24" t="s">
        <v>273</v>
      </c>
      <c r="E112" s="11" t="s">
        <v>956</v>
      </c>
      <c r="F112" s="11" t="s">
        <v>957</v>
      </c>
      <c r="G112" s="11" t="s">
        <v>958</v>
      </c>
      <c r="H112" s="27" t="s">
        <v>933</v>
      </c>
      <c r="I112" s="28" t="s">
        <v>432</v>
      </c>
      <c r="J112" s="11" t="s">
        <v>920</v>
      </c>
      <c r="K112" s="29" t="s">
        <v>959</v>
      </c>
      <c r="L112" s="30" t="s">
        <v>960</v>
      </c>
      <c r="M112" s="11" t="s">
        <v>923</v>
      </c>
      <c r="N112" s="11" t="s">
        <v>437</v>
      </c>
    </row>
    <row r="113" spans="1:14" ht="103.5" hidden="1" customHeight="1">
      <c r="A113" s="26" t="s">
        <v>274</v>
      </c>
      <c r="B113" s="16" t="s">
        <v>170</v>
      </c>
      <c r="C113" s="11" t="s">
        <v>258</v>
      </c>
      <c r="D113" s="24" t="s">
        <v>275</v>
      </c>
      <c r="E113" s="11" t="s">
        <v>961</v>
      </c>
      <c r="F113" s="11" t="s">
        <v>962</v>
      </c>
      <c r="G113" s="11" t="s">
        <v>963</v>
      </c>
      <c r="H113" s="27" t="s">
        <v>919</v>
      </c>
      <c r="I113" s="28" t="s">
        <v>432</v>
      </c>
      <c r="J113" s="11" t="s">
        <v>920</v>
      </c>
      <c r="K113" s="29" t="s">
        <v>964</v>
      </c>
      <c r="L113" s="30" t="s">
        <v>965</v>
      </c>
      <c r="M113" s="11" t="s">
        <v>923</v>
      </c>
      <c r="N113" s="11" t="s">
        <v>437</v>
      </c>
    </row>
    <row r="114" spans="1:14" ht="103.5" hidden="1" customHeight="1">
      <c r="A114" s="26" t="s">
        <v>276</v>
      </c>
      <c r="B114" s="16" t="s">
        <v>170</v>
      </c>
      <c r="C114" s="11" t="s">
        <v>258</v>
      </c>
      <c r="D114" s="24" t="s">
        <v>277</v>
      </c>
      <c r="E114" s="11" t="s">
        <v>966</v>
      </c>
      <c r="F114" s="11" t="s">
        <v>967</v>
      </c>
      <c r="G114" s="11" t="s">
        <v>968</v>
      </c>
      <c r="H114" s="27" t="s">
        <v>933</v>
      </c>
      <c r="I114" s="28" t="s">
        <v>432</v>
      </c>
      <c r="J114" s="11" t="s">
        <v>920</v>
      </c>
      <c r="K114" s="29" t="s">
        <v>969</v>
      </c>
      <c r="L114" s="30" t="s">
        <v>970</v>
      </c>
      <c r="M114" s="11" t="s">
        <v>923</v>
      </c>
      <c r="N114" s="11" t="s">
        <v>437</v>
      </c>
    </row>
    <row r="115" spans="1:14" ht="103.5" hidden="1" customHeight="1">
      <c r="A115" s="26" t="s">
        <v>278</v>
      </c>
      <c r="B115" s="16" t="s">
        <v>170</v>
      </c>
      <c r="C115" s="11" t="s">
        <v>279</v>
      </c>
      <c r="D115" s="24" t="s">
        <v>280</v>
      </c>
      <c r="E115" s="11" t="s">
        <v>971</v>
      </c>
      <c r="F115" s="11" t="s">
        <v>972</v>
      </c>
      <c r="G115" s="11" t="s">
        <v>489</v>
      </c>
      <c r="H115" s="31" t="s">
        <v>490</v>
      </c>
      <c r="I115" s="25" t="s">
        <v>66</v>
      </c>
      <c r="J115" s="11" t="s">
        <v>973</v>
      </c>
      <c r="K115" s="29" t="s">
        <v>974</v>
      </c>
      <c r="L115" s="30" t="s">
        <v>975</v>
      </c>
      <c r="M115" s="11" t="s">
        <v>976</v>
      </c>
      <c r="N115" s="11" t="s">
        <v>437</v>
      </c>
    </row>
    <row r="116" spans="1:14" ht="103.5" hidden="1" customHeight="1">
      <c r="A116" s="26" t="s">
        <v>281</v>
      </c>
      <c r="B116" s="16" t="s">
        <v>170</v>
      </c>
      <c r="C116" s="11" t="s">
        <v>279</v>
      </c>
      <c r="D116" s="24" t="s">
        <v>282</v>
      </c>
      <c r="E116" s="11" t="s">
        <v>977</v>
      </c>
      <c r="F116" s="11" t="s">
        <v>978</v>
      </c>
      <c r="G116" s="11" t="s">
        <v>489</v>
      </c>
      <c r="H116" s="31" t="s">
        <v>490</v>
      </c>
      <c r="I116" s="25" t="s">
        <v>66</v>
      </c>
      <c r="J116" s="11" t="s">
        <v>973</v>
      </c>
      <c r="K116" s="29" t="s">
        <v>979</v>
      </c>
      <c r="L116" s="30" t="s">
        <v>980</v>
      </c>
      <c r="M116" s="11" t="s">
        <v>976</v>
      </c>
      <c r="N116" s="11" t="s">
        <v>437</v>
      </c>
    </row>
    <row r="117" spans="1:14" ht="103.5" hidden="1" customHeight="1">
      <c r="A117" s="26" t="s">
        <v>283</v>
      </c>
      <c r="B117" s="16" t="s">
        <v>170</v>
      </c>
      <c r="C117" s="11" t="s">
        <v>279</v>
      </c>
      <c r="D117" s="24" t="s">
        <v>284</v>
      </c>
      <c r="E117" s="11" t="s">
        <v>981</v>
      </c>
      <c r="F117" s="11" t="s">
        <v>982</v>
      </c>
      <c r="G117" s="11" t="s">
        <v>489</v>
      </c>
      <c r="H117" s="31" t="s">
        <v>490</v>
      </c>
      <c r="I117" s="25" t="s">
        <v>66</v>
      </c>
      <c r="J117" s="11" t="s">
        <v>973</v>
      </c>
      <c r="K117" s="29" t="s">
        <v>983</v>
      </c>
      <c r="L117" s="30" t="s">
        <v>984</v>
      </c>
      <c r="M117" s="11" t="s">
        <v>976</v>
      </c>
      <c r="N117" s="11" t="s">
        <v>437</v>
      </c>
    </row>
    <row r="118" spans="1:14" ht="103.5" hidden="1" customHeight="1">
      <c r="A118" s="26" t="s">
        <v>285</v>
      </c>
      <c r="B118" s="16" t="s">
        <v>170</v>
      </c>
      <c r="C118" s="11" t="s">
        <v>279</v>
      </c>
      <c r="D118" s="24" t="s">
        <v>286</v>
      </c>
      <c r="E118" s="11" t="s">
        <v>985</v>
      </c>
      <c r="F118" s="11" t="s">
        <v>986</v>
      </c>
      <c r="G118" s="11" t="s">
        <v>489</v>
      </c>
      <c r="H118" s="31" t="s">
        <v>490</v>
      </c>
      <c r="I118" s="25" t="s">
        <v>66</v>
      </c>
      <c r="J118" s="11" t="s">
        <v>973</v>
      </c>
      <c r="K118" s="29" t="s">
        <v>987</v>
      </c>
      <c r="L118" s="30" t="s">
        <v>988</v>
      </c>
      <c r="M118" s="11" t="s">
        <v>976</v>
      </c>
      <c r="N118" s="11" t="s">
        <v>437</v>
      </c>
    </row>
    <row r="119" spans="1:14" ht="103.5" hidden="1" customHeight="1">
      <c r="A119" s="26" t="s">
        <v>287</v>
      </c>
      <c r="B119" s="16" t="s">
        <v>170</v>
      </c>
      <c r="C119" s="11" t="s">
        <v>279</v>
      </c>
      <c r="D119" s="24" t="s">
        <v>288</v>
      </c>
      <c r="E119" s="11" t="s">
        <v>989</v>
      </c>
      <c r="F119" s="11" t="s">
        <v>990</v>
      </c>
      <c r="G119" s="11" t="s">
        <v>489</v>
      </c>
      <c r="H119" s="31" t="s">
        <v>490</v>
      </c>
      <c r="I119" s="25" t="s">
        <v>66</v>
      </c>
      <c r="J119" s="11" t="s">
        <v>973</v>
      </c>
      <c r="K119" s="29" t="s">
        <v>991</v>
      </c>
      <c r="L119" s="30" t="s">
        <v>992</v>
      </c>
      <c r="M119" s="11" t="s">
        <v>976</v>
      </c>
      <c r="N119" s="11" t="s">
        <v>437</v>
      </c>
    </row>
    <row r="120" spans="1:14" ht="103.5" hidden="1" customHeight="1">
      <c r="A120" s="26" t="s">
        <v>289</v>
      </c>
      <c r="B120" s="16" t="s">
        <v>170</v>
      </c>
      <c r="C120" s="11" t="s">
        <v>279</v>
      </c>
      <c r="D120" s="24" t="s">
        <v>290</v>
      </c>
      <c r="E120" s="11" t="s">
        <v>993</v>
      </c>
      <c r="F120" s="11" t="s">
        <v>994</v>
      </c>
      <c r="G120" s="11" t="s">
        <v>489</v>
      </c>
      <c r="H120" s="31" t="s">
        <v>490</v>
      </c>
      <c r="I120" s="25" t="s">
        <v>66</v>
      </c>
      <c r="J120" s="11" t="s">
        <v>973</v>
      </c>
      <c r="K120" s="29" t="s">
        <v>995</v>
      </c>
      <c r="L120" s="30" t="s">
        <v>996</v>
      </c>
      <c r="M120" s="11" t="s">
        <v>976</v>
      </c>
      <c r="N120" s="11" t="s">
        <v>437</v>
      </c>
    </row>
    <row r="121" spans="1:14" ht="103.5" hidden="1" customHeight="1">
      <c r="A121" s="26" t="s">
        <v>291</v>
      </c>
      <c r="B121" s="16" t="s">
        <v>170</v>
      </c>
      <c r="C121" s="11" t="s">
        <v>279</v>
      </c>
      <c r="D121" s="24" t="s">
        <v>292</v>
      </c>
      <c r="E121" s="11" t="s">
        <v>997</v>
      </c>
      <c r="F121" s="11" t="s">
        <v>998</v>
      </c>
      <c r="G121" s="11" t="s">
        <v>489</v>
      </c>
      <c r="H121" s="31" t="s">
        <v>490</v>
      </c>
      <c r="I121" s="25" t="s">
        <v>66</v>
      </c>
      <c r="J121" s="11" t="s">
        <v>973</v>
      </c>
      <c r="K121" s="29" t="s">
        <v>999</v>
      </c>
      <c r="L121" s="30" t="s">
        <v>1000</v>
      </c>
      <c r="M121" s="11" t="s">
        <v>976</v>
      </c>
      <c r="N121" s="11" t="s">
        <v>437</v>
      </c>
    </row>
    <row r="122" spans="1:14" ht="103.5" hidden="1" customHeight="1">
      <c r="A122" s="26" t="s">
        <v>293</v>
      </c>
      <c r="B122" s="16" t="s">
        <v>170</v>
      </c>
      <c r="C122" s="11" t="s">
        <v>279</v>
      </c>
      <c r="D122" s="24" t="s">
        <v>294</v>
      </c>
      <c r="E122" s="11" t="s">
        <v>1001</v>
      </c>
      <c r="F122" s="11" t="s">
        <v>1002</v>
      </c>
      <c r="G122" s="11" t="s">
        <v>489</v>
      </c>
      <c r="H122" s="31" t="s">
        <v>490</v>
      </c>
      <c r="I122" s="25" t="s">
        <v>66</v>
      </c>
      <c r="J122" s="11" t="s">
        <v>973</v>
      </c>
      <c r="K122" s="29" t="s">
        <v>1003</v>
      </c>
      <c r="L122" s="30" t="s">
        <v>1004</v>
      </c>
      <c r="M122" s="11" t="s">
        <v>976</v>
      </c>
      <c r="N122" s="11" t="s">
        <v>437</v>
      </c>
    </row>
    <row r="123" spans="1:14" ht="103.5" hidden="1" customHeight="1">
      <c r="A123" s="26" t="s">
        <v>295</v>
      </c>
      <c r="B123" s="16" t="s">
        <v>170</v>
      </c>
      <c r="C123" s="11" t="s">
        <v>279</v>
      </c>
      <c r="D123" s="24" t="s">
        <v>296</v>
      </c>
      <c r="E123" s="11" t="s">
        <v>780</v>
      </c>
      <c r="F123" s="11" t="s">
        <v>1005</v>
      </c>
      <c r="G123" s="11" t="s">
        <v>489</v>
      </c>
      <c r="H123" s="31" t="s">
        <v>490</v>
      </c>
      <c r="I123" s="25" t="s">
        <v>66</v>
      </c>
      <c r="J123" s="11" t="s">
        <v>973</v>
      </c>
      <c r="K123" s="29" t="s">
        <v>1006</v>
      </c>
      <c r="L123" s="30" t="s">
        <v>1007</v>
      </c>
      <c r="M123" s="11" t="s">
        <v>976</v>
      </c>
      <c r="N123" s="11" t="s">
        <v>437</v>
      </c>
    </row>
    <row r="124" spans="1:14" ht="103.5" hidden="1" customHeight="1">
      <c r="A124" s="26" t="s">
        <v>297</v>
      </c>
      <c r="B124" s="16" t="s">
        <v>170</v>
      </c>
      <c r="C124" s="11" t="s">
        <v>279</v>
      </c>
      <c r="D124" s="24" t="s">
        <v>298</v>
      </c>
      <c r="E124" s="11" t="s">
        <v>1008</v>
      </c>
      <c r="F124" s="11" t="s">
        <v>1009</v>
      </c>
      <c r="G124" s="11" t="s">
        <v>489</v>
      </c>
      <c r="H124" s="31" t="s">
        <v>490</v>
      </c>
      <c r="I124" s="25" t="s">
        <v>66</v>
      </c>
      <c r="J124" s="11" t="s">
        <v>973</v>
      </c>
      <c r="K124" s="29" t="s">
        <v>1010</v>
      </c>
      <c r="L124" s="30" t="s">
        <v>1011</v>
      </c>
      <c r="M124" s="11" t="s">
        <v>976</v>
      </c>
      <c r="N124" s="11" t="s">
        <v>437</v>
      </c>
    </row>
    <row r="125" spans="1:14" ht="103.5" customHeight="1">
      <c r="A125" s="26" t="s">
        <v>299</v>
      </c>
      <c r="B125" s="17" t="s">
        <v>300</v>
      </c>
      <c r="C125" s="11" t="s">
        <v>301</v>
      </c>
      <c r="D125" s="24" t="s">
        <v>302</v>
      </c>
      <c r="E125" s="11" t="s">
        <v>1012</v>
      </c>
      <c r="F125" s="11" t="s">
        <v>1013</v>
      </c>
      <c r="G125" s="11" t="s">
        <v>1014</v>
      </c>
      <c r="H125" s="27" t="s">
        <v>1015</v>
      </c>
      <c r="I125" s="28" t="s">
        <v>432</v>
      </c>
      <c r="J125" s="11" t="s">
        <v>1016</v>
      </c>
      <c r="K125" s="29" t="s">
        <v>1017</v>
      </c>
      <c r="L125" s="30" t="s">
        <v>1018</v>
      </c>
      <c r="M125" s="11" t="s">
        <v>1019</v>
      </c>
      <c r="N125" s="11" t="s">
        <v>437</v>
      </c>
    </row>
    <row r="126" spans="1:14" ht="103.5" customHeight="1">
      <c r="A126" s="26" t="s">
        <v>303</v>
      </c>
      <c r="B126" s="17" t="s">
        <v>300</v>
      </c>
      <c r="C126" s="11" t="s">
        <v>301</v>
      </c>
      <c r="D126" s="24" t="s">
        <v>304</v>
      </c>
      <c r="E126" s="11" t="s">
        <v>1020</v>
      </c>
      <c r="F126" s="11" t="s">
        <v>1021</v>
      </c>
      <c r="G126" s="11" t="s">
        <v>1022</v>
      </c>
      <c r="H126" s="27" t="s">
        <v>1015</v>
      </c>
      <c r="I126" s="28" t="s">
        <v>432</v>
      </c>
      <c r="J126" s="11" t="s">
        <v>1016</v>
      </c>
      <c r="K126" s="29" t="s">
        <v>1023</v>
      </c>
      <c r="L126" s="30" t="s">
        <v>1024</v>
      </c>
      <c r="M126" s="11" t="s">
        <v>1019</v>
      </c>
      <c r="N126" s="11" t="s">
        <v>437</v>
      </c>
    </row>
    <row r="127" spans="1:14" ht="103.5" customHeight="1">
      <c r="A127" s="26" t="s">
        <v>305</v>
      </c>
      <c r="B127" s="17" t="s">
        <v>300</v>
      </c>
      <c r="C127" s="11" t="s">
        <v>301</v>
      </c>
      <c r="D127" s="24" t="s">
        <v>306</v>
      </c>
      <c r="E127" s="11" t="s">
        <v>1025</v>
      </c>
      <c r="F127" s="11" t="s">
        <v>1026</v>
      </c>
      <c r="G127" s="11" t="s">
        <v>1027</v>
      </c>
      <c r="H127" s="27" t="s">
        <v>522</v>
      </c>
      <c r="I127" s="25" t="s">
        <v>66</v>
      </c>
      <c r="J127" s="11" t="s">
        <v>1016</v>
      </c>
      <c r="K127" s="29" t="s">
        <v>1028</v>
      </c>
      <c r="L127" s="30" t="s">
        <v>1029</v>
      </c>
      <c r="M127" s="11" t="s">
        <v>1019</v>
      </c>
      <c r="N127" s="11" t="s">
        <v>437</v>
      </c>
    </row>
    <row r="128" spans="1:14" ht="103.5" customHeight="1">
      <c r="A128" s="26" t="s">
        <v>307</v>
      </c>
      <c r="B128" s="17" t="s">
        <v>300</v>
      </c>
      <c r="C128" s="11" t="s">
        <v>301</v>
      </c>
      <c r="D128" s="24" t="s">
        <v>308</v>
      </c>
      <c r="E128" s="11" t="s">
        <v>1030</v>
      </c>
      <c r="F128" s="11" t="s">
        <v>1031</v>
      </c>
      <c r="G128" s="11" t="s">
        <v>1032</v>
      </c>
      <c r="H128" s="27" t="s">
        <v>1015</v>
      </c>
      <c r="I128" s="28" t="s">
        <v>432</v>
      </c>
      <c r="J128" s="11" t="s">
        <v>1016</v>
      </c>
      <c r="K128" s="29" t="s">
        <v>1033</v>
      </c>
      <c r="L128" s="30" t="s">
        <v>1034</v>
      </c>
      <c r="M128" s="11" t="s">
        <v>1019</v>
      </c>
      <c r="N128" s="11" t="s">
        <v>437</v>
      </c>
    </row>
    <row r="129" spans="1:14" ht="103.5" customHeight="1">
      <c r="A129" s="26" t="s">
        <v>309</v>
      </c>
      <c r="B129" s="17" t="s">
        <v>300</v>
      </c>
      <c r="C129" s="11" t="s">
        <v>301</v>
      </c>
      <c r="D129" s="24" t="s">
        <v>310</v>
      </c>
      <c r="E129" s="11" t="s">
        <v>1035</v>
      </c>
      <c r="F129" s="11" t="s">
        <v>1036</v>
      </c>
      <c r="G129" s="11" t="s">
        <v>1037</v>
      </c>
      <c r="H129" s="27" t="s">
        <v>1038</v>
      </c>
      <c r="I129" s="28" t="s">
        <v>432</v>
      </c>
      <c r="J129" s="11" t="s">
        <v>1016</v>
      </c>
      <c r="K129" s="29" t="s">
        <v>1039</v>
      </c>
      <c r="L129" s="30" t="s">
        <v>1040</v>
      </c>
      <c r="M129" s="11" t="s">
        <v>1019</v>
      </c>
      <c r="N129" s="11" t="s">
        <v>437</v>
      </c>
    </row>
    <row r="130" spans="1:14" ht="103.5" customHeight="1">
      <c r="A130" s="26" t="s">
        <v>311</v>
      </c>
      <c r="B130" s="17" t="s">
        <v>300</v>
      </c>
      <c r="C130" s="11" t="s">
        <v>301</v>
      </c>
      <c r="D130" s="24" t="s">
        <v>312</v>
      </c>
      <c r="E130" s="11" t="s">
        <v>1041</v>
      </c>
      <c r="F130" s="11" t="s">
        <v>1042</v>
      </c>
      <c r="G130" s="11" t="s">
        <v>1043</v>
      </c>
      <c r="H130" s="27" t="s">
        <v>1015</v>
      </c>
      <c r="I130" s="28" t="s">
        <v>432</v>
      </c>
      <c r="J130" s="11" t="s">
        <v>1016</v>
      </c>
      <c r="K130" s="29" t="s">
        <v>1044</v>
      </c>
      <c r="L130" s="30" t="s">
        <v>1045</v>
      </c>
      <c r="M130" s="11" t="s">
        <v>1019</v>
      </c>
      <c r="N130" s="11" t="s">
        <v>437</v>
      </c>
    </row>
    <row r="131" spans="1:14" ht="103.5" customHeight="1">
      <c r="A131" s="26" t="s">
        <v>313</v>
      </c>
      <c r="B131" s="17" t="s">
        <v>300</v>
      </c>
      <c r="C131" s="11" t="s">
        <v>301</v>
      </c>
      <c r="D131" s="24" t="s">
        <v>314</v>
      </c>
      <c r="E131" s="11" t="s">
        <v>1046</v>
      </c>
      <c r="F131" s="11" t="s">
        <v>1047</v>
      </c>
      <c r="G131" s="11" t="s">
        <v>1048</v>
      </c>
      <c r="H131" s="27" t="s">
        <v>1015</v>
      </c>
      <c r="I131" s="28" t="s">
        <v>432</v>
      </c>
      <c r="J131" s="11" t="s">
        <v>1016</v>
      </c>
      <c r="K131" s="29" t="s">
        <v>1049</v>
      </c>
      <c r="L131" s="30" t="s">
        <v>1050</v>
      </c>
      <c r="M131" s="11" t="s">
        <v>1019</v>
      </c>
      <c r="N131" s="11" t="s">
        <v>437</v>
      </c>
    </row>
    <row r="132" spans="1:14" ht="103.5" customHeight="1">
      <c r="A132" s="26" t="s">
        <v>315</v>
      </c>
      <c r="B132" s="17" t="s">
        <v>300</v>
      </c>
      <c r="C132" s="11" t="s">
        <v>301</v>
      </c>
      <c r="D132" s="24" t="s">
        <v>316</v>
      </c>
      <c r="E132" s="11" t="s">
        <v>1051</v>
      </c>
      <c r="F132" s="11" t="s">
        <v>1052</v>
      </c>
      <c r="G132" s="11" t="s">
        <v>1053</v>
      </c>
      <c r="H132" s="27" t="s">
        <v>1054</v>
      </c>
      <c r="I132" s="28" t="s">
        <v>432</v>
      </c>
      <c r="J132" s="11" t="s">
        <v>1016</v>
      </c>
      <c r="K132" s="29" t="s">
        <v>1055</v>
      </c>
      <c r="L132" s="30" t="s">
        <v>1056</v>
      </c>
      <c r="M132" s="11" t="s">
        <v>1019</v>
      </c>
      <c r="N132" s="11" t="s">
        <v>437</v>
      </c>
    </row>
    <row r="133" spans="1:14" ht="103.5" customHeight="1">
      <c r="A133" s="26" t="s">
        <v>317</v>
      </c>
      <c r="B133" s="17" t="s">
        <v>300</v>
      </c>
      <c r="C133" s="11" t="s">
        <v>301</v>
      </c>
      <c r="D133" s="24" t="s">
        <v>318</v>
      </c>
      <c r="E133" s="11" t="s">
        <v>1057</v>
      </c>
      <c r="F133" s="11" t="s">
        <v>1058</v>
      </c>
      <c r="G133" s="11" t="s">
        <v>1059</v>
      </c>
      <c r="H133" s="27" t="s">
        <v>1015</v>
      </c>
      <c r="I133" s="28" t="s">
        <v>432</v>
      </c>
      <c r="J133" s="11" t="s">
        <v>1016</v>
      </c>
      <c r="K133" s="29" t="s">
        <v>1060</v>
      </c>
      <c r="L133" s="30" t="s">
        <v>1061</v>
      </c>
      <c r="M133" s="11" t="s">
        <v>1019</v>
      </c>
      <c r="N133" s="11" t="s">
        <v>437</v>
      </c>
    </row>
    <row r="134" spans="1:14" ht="103.5" customHeight="1">
      <c r="A134" s="26" t="s">
        <v>319</v>
      </c>
      <c r="B134" s="17" t="s">
        <v>300</v>
      </c>
      <c r="C134" s="11" t="s">
        <v>301</v>
      </c>
      <c r="D134" s="24" t="s">
        <v>320</v>
      </c>
      <c r="E134" s="11" t="s">
        <v>1062</v>
      </c>
      <c r="F134" s="11" t="s">
        <v>1063</v>
      </c>
      <c r="G134" s="11" t="s">
        <v>1064</v>
      </c>
      <c r="H134" s="27" t="s">
        <v>1065</v>
      </c>
      <c r="I134" s="28" t="s">
        <v>432</v>
      </c>
      <c r="J134" s="11" t="s">
        <v>1016</v>
      </c>
      <c r="K134" s="29" t="s">
        <v>1066</v>
      </c>
      <c r="L134" s="30" t="s">
        <v>1067</v>
      </c>
      <c r="M134" s="11" t="s">
        <v>1019</v>
      </c>
      <c r="N134" s="11" t="s">
        <v>437</v>
      </c>
    </row>
    <row r="135" spans="1:14" ht="103.5" customHeight="1">
      <c r="A135" s="26" t="s">
        <v>321</v>
      </c>
      <c r="B135" s="17" t="s">
        <v>300</v>
      </c>
      <c r="C135" s="11" t="s">
        <v>322</v>
      </c>
      <c r="D135" s="24" t="s">
        <v>323</v>
      </c>
      <c r="E135" s="11" t="s">
        <v>1068</v>
      </c>
      <c r="F135" s="11" t="s">
        <v>1069</v>
      </c>
      <c r="G135" s="11" t="s">
        <v>1070</v>
      </c>
      <c r="H135" s="27" t="s">
        <v>522</v>
      </c>
      <c r="I135" s="25" t="s">
        <v>66</v>
      </c>
      <c r="J135" s="11" t="s">
        <v>1071</v>
      </c>
      <c r="K135" s="29" t="s">
        <v>1072</v>
      </c>
      <c r="L135" s="30" t="s">
        <v>1073</v>
      </c>
      <c r="M135" s="11" t="s">
        <v>1074</v>
      </c>
      <c r="N135" s="11" t="s">
        <v>437</v>
      </c>
    </row>
    <row r="136" spans="1:14" ht="103.5" customHeight="1">
      <c r="A136" s="26" t="s">
        <v>324</v>
      </c>
      <c r="B136" s="17" t="s">
        <v>300</v>
      </c>
      <c r="C136" s="11" t="s">
        <v>322</v>
      </c>
      <c r="D136" s="24" t="s">
        <v>325</v>
      </c>
      <c r="E136" s="11" t="s">
        <v>1075</v>
      </c>
      <c r="F136" s="11" t="s">
        <v>1076</v>
      </c>
      <c r="G136" s="11" t="s">
        <v>1077</v>
      </c>
      <c r="H136" s="27" t="s">
        <v>522</v>
      </c>
      <c r="I136" s="25" t="s">
        <v>66</v>
      </c>
      <c r="J136" s="11" t="s">
        <v>1071</v>
      </c>
      <c r="K136" s="29" t="s">
        <v>1078</v>
      </c>
      <c r="L136" s="30" t="s">
        <v>1079</v>
      </c>
      <c r="M136" s="11" t="s">
        <v>1074</v>
      </c>
      <c r="N136" s="11" t="s">
        <v>437</v>
      </c>
    </row>
    <row r="137" spans="1:14" ht="103.5" customHeight="1">
      <c r="A137" s="26" t="s">
        <v>326</v>
      </c>
      <c r="B137" s="17" t="s">
        <v>300</v>
      </c>
      <c r="C137" s="11" t="s">
        <v>322</v>
      </c>
      <c r="D137" s="24" t="s">
        <v>327</v>
      </c>
      <c r="E137" s="11" t="s">
        <v>1080</v>
      </c>
      <c r="F137" s="11" t="s">
        <v>1081</v>
      </c>
      <c r="G137" s="11" t="s">
        <v>1082</v>
      </c>
      <c r="H137" s="27" t="s">
        <v>1083</v>
      </c>
      <c r="I137" s="28" t="s">
        <v>432</v>
      </c>
      <c r="J137" s="11" t="s">
        <v>1071</v>
      </c>
      <c r="K137" s="29" t="s">
        <v>1084</v>
      </c>
      <c r="L137" s="30" t="s">
        <v>1085</v>
      </c>
      <c r="M137" s="11" t="s">
        <v>1074</v>
      </c>
      <c r="N137" s="11" t="s">
        <v>437</v>
      </c>
    </row>
    <row r="138" spans="1:14" ht="103.5" customHeight="1">
      <c r="A138" s="26" t="s">
        <v>328</v>
      </c>
      <c r="B138" s="17" t="s">
        <v>300</v>
      </c>
      <c r="C138" s="11" t="s">
        <v>322</v>
      </c>
      <c r="D138" s="24" t="s">
        <v>329</v>
      </c>
      <c r="E138" s="11" t="s">
        <v>1086</v>
      </c>
      <c r="F138" s="11" t="s">
        <v>1087</v>
      </c>
      <c r="G138" s="11" t="s">
        <v>1088</v>
      </c>
      <c r="H138" s="27" t="s">
        <v>522</v>
      </c>
      <c r="I138" s="25" t="s">
        <v>66</v>
      </c>
      <c r="J138" s="11" t="s">
        <v>1071</v>
      </c>
      <c r="K138" s="29" t="s">
        <v>1089</v>
      </c>
      <c r="L138" s="30" t="s">
        <v>1090</v>
      </c>
      <c r="M138" s="11" t="s">
        <v>1074</v>
      </c>
      <c r="N138" s="11" t="s">
        <v>437</v>
      </c>
    </row>
    <row r="139" spans="1:14" ht="103.5" customHeight="1">
      <c r="A139" s="26" t="s">
        <v>330</v>
      </c>
      <c r="B139" s="17" t="s">
        <v>300</v>
      </c>
      <c r="C139" s="11" t="s">
        <v>322</v>
      </c>
      <c r="D139" s="24" t="s">
        <v>331</v>
      </c>
      <c r="E139" s="11" t="s">
        <v>1091</v>
      </c>
      <c r="F139" s="11" t="s">
        <v>1092</v>
      </c>
      <c r="G139" s="11" t="s">
        <v>1093</v>
      </c>
      <c r="H139" s="27" t="s">
        <v>1094</v>
      </c>
      <c r="I139" s="28" t="s">
        <v>432</v>
      </c>
      <c r="J139" s="11" t="s">
        <v>1071</v>
      </c>
      <c r="K139" s="29" t="s">
        <v>1095</v>
      </c>
      <c r="L139" s="30" t="s">
        <v>1096</v>
      </c>
      <c r="M139" s="11" t="s">
        <v>1074</v>
      </c>
      <c r="N139" s="11" t="s">
        <v>437</v>
      </c>
    </row>
    <row r="140" spans="1:14" ht="103.5" customHeight="1">
      <c r="A140" s="26" t="s">
        <v>332</v>
      </c>
      <c r="B140" s="17" t="s">
        <v>300</v>
      </c>
      <c r="C140" s="11" t="s">
        <v>322</v>
      </c>
      <c r="D140" s="24" t="s">
        <v>333</v>
      </c>
      <c r="E140" s="11" t="s">
        <v>1097</v>
      </c>
      <c r="F140" s="11" t="s">
        <v>1098</v>
      </c>
      <c r="G140" s="11" t="s">
        <v>1099</v>
      </c>
      <c r="H140" s="27" t="s">
        <v>522</v>
      </c>
      <c r="I140" s="25" t="s">
        <v>66</v>
      </c>
      <c r="J140" s="11" t="s">
        <v>1071</v>
      </c>
      <c r="K140" s="29" t="s">
        <v>1100</v>
      </c>
      <c r="L140" s="30" t="s">
        <v>1101</v>
      </c>
      <c r="M140" s="11" t="s">
        <v>1074</v>
      </c>
      <c r="N140" s="11" t="s">
        <v>437</v>
      </c>
    </row>
    <row r="141" spans="1:14" ht="103.5" customHeight="1">
      <c r="A141" s="26" t="s">
        <v>334</v>
      </c>
      <c r="B141" s="17" t="s">
        <v>300</v>
      </c>
      <c r="C141" s="11" t="s">
        <v>322</v>
      </c>
      <c r="D141" s="24" t="s">
        <v>335</v>
      </c>
      <c r="E141" s="11" t="s">
        <v>1102</v>
      </c>
      <c r="F141" s="11" t="s">
        <v>1103</v>
      </c>
      <c r="G141" s="11" t="s">
        <v>1104</v>
      </c>
      <c r="H141" s="27" t="s">
        <v>522</v>
      </c>
      <c r="I141" s="25" t="s">
        <v>66</v>
      </c>
      <c r="J141" s="11" t="s">
        <v>1071</v>
      </c>
      <c r="K141" s="29" t="s">
        <v>1105</v>
      </c>
      <c r="L141" s="30" t="s">
        <v>1106</v>
      </c>
      <c r="M141" s="11" t="s">
        <v>1074</v>
      </c>
      <c r="N141" s="11" t="s">
        <v>437</v>
      </c>
    </row>
    <row r="142" spans="1:14" ht="103.5" customHeight="1">
      <c r="A142" s="26" t="s">
        <v>336</v>
      </c>
      <c r="B142" s="17" t="s">
        <v>300</v>
      </c>
      <c r="C142" s="11" t="s">
        <v>322</v>
      </c>
      <c r="D142" s="24" t="s">
        <v>337</v>
      </c>
      <c r="E142" s="11" t="s">
        <v>1107</v>
      </c>
      <c r="F142" s="11" t="s">
        <v>1108</v>
      </c>
      <c r="G142" s="11" t="s">
        <v>1109</v>
      </c>
      <c r="H142" s="27" t="s">
        <v>522</v>
      </c>
      <c r="I142" s="25" t="s">
        <v>66</v>
      </c>
      <c r="J142" s="11" t="s">
        <v>1071</v>
      </c>
      <c r="K142" s="29" t="s">
        <v>1110</v>
      </c>
      <c r="L142" s="30" t="s">
        <v>1111</v>
      </c>
      <c r="M142" s="11" t="s">
        <v>1074</v>
      </c>
      <c r="N142" s="11" t="s">
        <v>437</v>
      </c>
    </row>
    <row r="143" spans="1:14" ht="103.5" customHeight="1">
      <c r="A143" s="26" t="s">
        <v>338</v>
      </c>
      <c r="B143" s="17" t="s">
        <v>300</v>
      </c>
      <c r="C143" s="11" t="s">
        <v>322</v>
      </c>
      <c r="D143" s="24" t="s">
        <v>339</v>
      </c>
      <c r="E143" s="11" t="s">
        <v>1112</v>
      </c>
      <c r="F143" s="11" t="s">
        <v>1113</v>
      </c>
      <c r="G143" s="11" t="s">
        <v>1114</v>
      </c>
      <c r="H143" s="27" t="s">
        <v>522</v>
      </c>
      <c r="I143" s="25" t="s">
        <v>66</v>
      </c>
      <c r="J143" s="11" t="s">
        <v>1071</v>
      </c>
      <c r="K143" s="29" t="s">
        <v>1115</v>
      </c>
      <c r="L143" s="30" t="s">
        <v>1116</v>
      </c>
      <c r="M143" s="11" t="s">
        <v>1074</v>
      </c>
      <c r="N143" s="11" t="s">
        <v>437</v>
      </c>
    </row>
    <row r="144" spans="1:14" ht="103.5" customHeight="1">
      <c r="A144" s="26" t="s">
        <v>340</v>
      </c>
      <c r="B144" s="17" t="s">
        <v>300</v>
      </c>
      <c r="C144" s="11" t="s">
        <v>322</v>
      </c>
      <c r="D144" s="24" t="s">
        <v>341</v>
      </c>
      <c r="E144" s="11" t="s">
        <v>1117</v>
      </c>
      <c r="F144" s="11" t="s">
        <v>1118</v>
      </c>
      <c r="G144" s="11" t="s">
        <v>1119</v>
      </c>
      <c r="H144" s="27" t="s">
        <v>1083</v>
      </c>
      <c r="I144" s="28" t="s">
        <v>432</v>
      </c>
      <c r="J144" s="11" t="s">
        <v>1071</v>
      </c>
      <c r="K144" s="29" t="s">
        <v>1120</v>
      </c>
      <c r="L144" s="30" t="s">
        <v>1121</v>
      </c>
      <c r="M144" s="11" t="s">
        <v>1074</v>
      </c>
      <c r="N144" s="11" t="s">
        <v>437</v>
      </c>
    </row>
    <row r="145" spans="1:14" ht="103.5" customHeight="1">
      <c r="A145" s="26" t="s">
        <v>342</v>
      </c>
      <c r="B145" s="17" t="s">
        <v>300</v>
      </c>
      <c r="C145" s="11" t="s">
        <v>343</v>
      </c>
      <c r="D145" s="24" t="s">
        <v>344</v>
      </c>
      <c r="E145" s="11" t="s">
        <v>1122</v>
      </c>
      <c r="F145" s="11" t="s">
        <v>1123</v>
      </c>
      <c r="G145" s="11" t="s">
        <v>1124</v>
      </c>
      <c r="H145" s="27" t="s">
        <v>1065</v>
      </c>
      <c r="I145" s="28" t="s">
        <v>432</v>
      </c>
      <c r="J145" s="11" t="s">
        <v>1125</v>
      </c>
      <c r="K145" s="29" t="s">
        <v>1126</v>
      </c>
      <c r="L145" s="30" t="s">
        <v>1127</v>
      </c>
      <c r="M145" s="11" t="s">
        <v>1074</v>
      </c>
      <c r="N145" s="11" t="s">
        <v>437</v>
      </c>
    </row>
    <row r="146" spans="1:14" ht="103.5" customHeight="1">
      <c r="A146" s="26" t="s">
        <v>345</v>
      </c>
      <c r="B146" s="17" t="s">
        <v>300</v>
      </c>
      <c r="C146" s="11" t="s">
        <v>343</v>
      </c>
      <c r="D146" s="24" t="s">
        <v>346</v>
      </c>
      <c r="E146" s="11" t="s">
        <v>1128</v>
      </c>
      <c r="F146" s="11" t="s">
        <v>1129</v>
      </c>
      <c r="G146" s="11" t="s">
        <v>1130</v>
      </c>
      <c r="H146" s="27" t="s">
        <v>1065</v>
      </c>
      <c r="I146" s="28" t="s">
        <v>432</v>
      </c>
      <c r="J146" s="11" t="s">
        <v>1125</v>
      </c>
      <c r="K146" s="29" t="s">
        <v>1131</v>
      </c>
      <c r="L146" s="30" t="s">
        <v>1132</v>
      </c>
      <c r="M146" s="11" t="s">
        <v>1074</v>
      </c>
      <c r="N146" s="11" t="s">
        <v>437</v>
      </c>
    </row>
    <row r="147" spans="1:14" ht="103.5" customHeight="1">
      <c r="A147" s="26" t="s">
        <v>347</v>
      </c>
      <c r="B147" s="17" t="s">
        <v>300</v>
      </c>
      <c r="C147" s="11" t="s">
        <v>343</v>
      </c>
      <c r="D147" s="24" t="s">
        <v>348</v>
      </c>
      <c r="E147" s="11" t="s">
        <v>1133</v>
      </c>
      <c r="F147" s="11" t="s">
        <v>1134</v>
      </c>
      <c r="G147" s="11" t="s">
        <v>1135</v>
      </c>
      <c r="H147" s="27" t="s">
        <v>1065</v>
      </c>
      <c r="I147" s="28" t="s">
        <v>432</v>
      </c>
      <c r="J147" s="11" t="s">
        <v>1125</v>
      </c>
      <c r="K147" s="29" t="s">
        <v>1136</v>
      </c>
      <c r="L147" s="30" t="s">
        <v>1137</v>
      </c>
      <c r="M147" s="11" t="s">
        <v>1074</v>
      </c>
      <c r="N147" s="11" t="s">
        <v>437</v>
      </c>
    </row>
    <row r="148" spans="1:14" ht="103.5" customHeight="1">
      <c r="A148" s="26" t="s">
        <v>349</v>
      </c>
      <c r="B148" s="17" t="s">
        <v>300</v>
      </c>
      <c r="C148" s="11" t="s">
        <v>343</v>
      </c>
      <c r="D148" s="24" t="s">
        <v>350</v>
      </c>
      <c r="E148" s="11" t="s">
        <v>1138</v>
      </c>
      <c r="F148" s="11" t="s">
        <v>1139</v>
      </c>
      <c r="G148" s="11" t="s">
        <v>1140</v>
      </c>
      <c r="H148" s="27" t="s">
        <v>1065</v>
      </c>
      <c r="I148" s="28" t="s">
        <v>432</v>
      </c>
      <c r="J148" s="11" t="s">
        <v>1125</v>
      </c>
      <c r="K148" s="29" t="s">
        <v>1141</v>
      </c>
      <c r="L148" s="30" t="s">
        <v>1142</v>
      </c>
      <c r="M148" s="11" t="s">
        <v>1074</v>
      </c>
      <c r="N148" s="11" t="s">
        <v>437</v>
      </c>
    </row>
    <row r="149" spans="1:14" ht="103.5" customHeight="1">
      <c r="A149" s="26" t="s">
        <v>351</v>
      </c>
      <c r="B149" s="17" t="s">
        <v>300</v>
      </c>
      <c r="C149" s="11" t="s">
        <v>343</v>
      </c>
      <c r="D149" s="24" t="s">
        <v>352</v>
      </c>
      <c r="E149" s="11" t="s">
        <v>1143</v>
      </c>
      <c r="F149" s="11" t="s">
        <v>1144</v>
      </c>
      <c r="G149" s="11" t="s">
        <v>1145</v>
      </c>
      <c r="H149" s="27" t="s">
        <v>1065</v>
      </c>
      <c r="I149" s="28" t="s">
        <v>432</v>
      </c>
      <c r="J149" s="11" t="s">
        <v>1125</v>
      </c>
      <c r="K149" s="29" t="s">
        <v>1146</v>
      </c>
      <c r="L149" s="30" t="s">
        <v>1147</v>
      </c>
      <c r="M149" s="11" t="s">
        <v>1074</v>
      </c>
      <c r="N149" s="11" t="s">
        <v>437</v>
      </c>
    </row>
    <row r="150" spans="1:14" ht="103.5" customHeight="1">
      <c r="A150" s="26" t="s">
        <v>353</v>
      </c>
      <c r="B150" s="17" t="s">
        <v>300</v>
      </c>
      <c r="C150" s="11" t="s">
        <v>343</v>
      </c>
      <c r="D150" s="24" t="s">
        <v>354</v>
      </c>
      <c r="E150" s="11" t="s">
        <v>1148</v>
      </c>
      <c r="F150" s="11" t="s">
        <v>1149</v>
      </c>
      <c r="G150" s="11" t="s">
        <v>1150</v>
      </c>
      <c r="H150" s="27" t="s">
        <v>1065</v>
      </c>
      <c r="I150" s="28" t="s">
        <v>432</v>
      </c>
      <c r="J150" s="11" t="s">
        <v>1125</v>
      </c>
      <c r="K150" s="29" t="s">
        <v>1151</v>
      </c>
      <c r="L150" s="30" t="s">
        <v>1152</v>
      </c>
      <c r="M150" s="11" t="s">
        <v>1074</v>
      </c>
      <c r="N150" s="11" t="s">
        <v>437</v>
      </c>
    </row>
    <row r="151" spans="1:14" ht="103.5" customHeight="1">
      <c r="A151" s="26" t="s">
        <v>355</v>
      </c>
      <c r="B151" s="17" t="s">
        <v>300</v>
      </c>
      <c r="C151" s="11" t="s">
        <v>343</v>
      </c>
      <c r="D151" s="24" t="s">
        <v>356</v>
      </c>
      <c r="E151" s="11" t="s">
        <v>1153</v>
      </c>
      <c r="F151" s="11" t="s">
        <v>1154</v>
      </c>
      <c r="G151" s="11" t="s">
        <v>1155</v>
      </c>
      <c r="H151" s="27" t="s">
        <v>1065</v>
      </c>
      <c r="I151" s="28" t="s">
        <v>432</v>
      </c>
      <c r="J151" s="11" t="s">
        <v>1125</v>
      </c>
      <c r="K151" s="29" t="s">
        <v>1156</v>
      </c>
      <c r="L151" s="30" t="s">
        <v>1157</v>
      </c>
      <c r="M151" s="11" t="s">
        <v>1074</v>
      </c>
      <c r="N151" s="11" t="s">
        <v>437</v>
      </c>
    </row>
    <row r="152" spans="1:14" ht="103.5" customHeight="1">
      <c r="A152" s="26" t="s">
        <v>357</v>
      </c>
      <c r="B152" s="17" t="s">
        <v>300</v>
      </c>
      <c r="C152" s="11" t="s">
        <v>343</v>
      </c>
      <c r="D152" s="24" t="s">
        <v>358</v>
      </c>
      <c r="E152" s="11" t="s">
        <v>1158</v>
      </c>
      <c r="F152" s="11" t="s">
        <v>1159</v>
      </c>
      <c r="G152" s="11" t="s">
        <v>1160</v>
      </c>
      <c r="H152" s="27" t="s">
        <v>1065</v>
      </c>
      <c r="I152" s="28" t="s">
        <v>432</v>
      </c>
      <c r="J152" s="11" t="s">
        <v>1125</v>
      </c>
      <c r="K152" s="29" t="s">
        <v>1161</v>
      </c>
      <c r="L152" s="30" t="s">
        <v>1162</v>
      </c>
      <c r="M152" s="11" t="s">
        <v>1074</v>
      </c>
      <c r="N152" s="11" t="s">
        <v>437</v>
      </c>
    </row>
    <row r="153" spans="1:14" ht="103.5" customHeight="1">
      <c r="A153" s="26" t="s">
        <v>359</v>
      </c>
      <c r="B153" s="17" t="s">
        <v>300</v>
      </c>
      <c r="C153" s="11" t="s">
        <v>343</v>
      </c>
      <c r="D153" s="24" t="s">
        <v>360</v>
      </c>
      <c r="E153" s="11" t="s">
        <v>1163</v>
      </c>
      <c r="F153" s="11" t="s">
        <v>1164</v>
      </c>
      <c r="G153" s="11" t="s">
        <v>1165</v>
      </c>
      <c r="H153" s="27" t="s">
        <v>1065</v>
      </c>
      <c r="I153" s="28" t="s">
        <v>432</v>
      </c>
      <c r="J153" s="11" t="s">
        <v>1125</v>
      </c>
      <c r="K153" s="29" t="s">
        <v>1166</v>
      </c>
      <c r="L153" s="30" t="s">
        <v>1167</v>
      </c>
      <c r="M153" s="11" t="s">
        <v>1074</v>
      </c>
      <c r="N153" s="11" t="s">
        <v>437</v>
      </c>
    </row>
    <row r="154" spans="1:14" ht="103.5" customHeight="1">
      <c r="A154" s="26" t="s">
        <v>361</v>
      </c>
      <c r="B154" s="17" t="s">
        <v>300</v>
      </c>
      <c r="C154" s="11" t="s">
        <v>343</v>
      </c>
      <c r="D154" s="24" t="s">
        <v>362</v>
      </c>
      <c r="E154" s="11" t="s">
        <v>1168</v>
      </c>
      <c r="F154" s="11" t="s">
        <v>1169</v>
      </c>
      <c r="G154" s="11" t="s">
        <v>1170</v>
      </c>
      <c r="H154" s="27" t="s">
        <v>1083</v>
      </c>
      <c r="I154" s="28" t="s">
        <v>432</v>
      </c>
      <c r="J154" s="11" t="s">
        <v>1125</v>
      </c>
      <c r="K154" s="29" t="s">
        <v>1171</v>
      </c>
      <c r="L154" s="30" t="s">
        <v>1172</v>
      </c>
      <c r="M154" s="11" t="s">
        <v>1074</v>
      </c>
      <c r="N154" s="11" t="s">
        <v>437</v>
      </c>
    </row>
    <row r="155" spans="1:14" ht="103.5" customHeight="1">
      <c r="A155" s="26" t="s">
        <v>363</v>
      </c>
      <c r="B155" s="17" t="s">
        <v>300</v>
      </c>
      <c r="C155" s="11" t="s">
        <v>364</v>
      </c>
      <c r="D155" s="24" t="s">
        <v>365</v>
      </c>
      <c r="E155" s="11" t="s">
        <v>1173</v>
      </c>
      <c r="F155" s="11" t="s">
        <v>1174</v>
      </c>
      <c r="G155" s="11" t="s">
        <v>1175</v>
      </c>
      <c r="H155" s="27" t="s">
        <v>522</v>
      </c>
      <c r="I155" s="25" t="s">
        <v>66</v>
      </c>
      <c r="J155" s="11" t="s">
        <v>1176</v>
      </c>
      <c r="K155" s="29" t="s">
        <v>1177</v>
      </c>
      <c r="L155" s="30" t="s">
        <v>1178</v>
      </c>
      <c r="M155" s="11" t="s">
        <v>1179</v>
      </c>
      <c r="N155" s="11" t="s">
        <v>437</v>
      </c>
    </row>
    <row r="156" spans="1:14" ht="103.5" customHeight="1">
      <c r="A156" s="26" t="s">
        <v>366</v>
      </c>
      <c r="B156" s="17" t="s">
        <v>300</v>
      </c>
      <c r="C156" s="11" t="s">
        <v>364</v>
      </c>
      <c r="D156" s="24" t="s">
        <v>367</v>
      </c>
      <c r="E156" s="11" t="s">
        <v>1180</v>
      </c>
      <c r="F156" s="11" t="s">
        <v>1181</v>
      </c>
      <c r="G156" s="11" t="s">
        <v>1182</v>
      </c>
      <c r="H156" s="27" t="s">
        <v>1054</v>
      </c>
      <c r="I156" s="28" t="s">
        <v>432</v>
      </c>
      <c r="J156" s="11" t="s">
        <v>1176</v>
      </c>
      <c r="K156" s="29" t="s">
        <v>1183</v>
      </c>
      <c r="L156" s="30" t="s">
        <v>1184</v>
      </c>
      <c r="M156" s="11" t="s">
        <v>1179</v>
      </c>
      <c r="N156" s="11" t="s">
        <v>437</v>
      </c>
    </row>
    <row r="157" spans="1:14" ht="103.5" customHeight="1">
      <c r="A157" s="26" t="s">
        <v>368</v>
      </c>
      <c r="B157" s="17" t="s">
        <v>300</v>
      </c>
      <c r="C157" s="11" t="s">
        <v>364</v>
      </c>
      <c r="D157" s="24" t="s">
        <v>369</v>
      </c>
      <c r="E157" s="11" t="s">
        <v>1185</v>
      </c>
      <c r="F157" s="11" t="s">
        <v>1186</v>
      </c>
      <c r="G157" s="11" t="s">
        <v>1187</v>
      </c>
      <c r="H157" s="27" t="s">
        <v>522</v>
      </c>
      <c r="I157" s="25" t="s">
        <v>66</v>
      </c>
      <c r="J157" s="11" t="s">
        <v>1176</v>
      </c>
      <c r="K157" s="29" t="s">
        <v>1188</v>
      </c>
      <c r="L157" s="30" t="s">
        <v>1189</v>
      </c>
      <c r="M157" s="11" t="s">
        <v>1179</v>
      </c>
      <c r="N157" s="11" t="s">
        <v>437</v>
      </c>
    </row>
    <row r="158" spans="1:14" ht="103.5" customHeight="1">
      <c r="A158" s="26" t="s">
        <v>370</v>
      </c>
      <c r="B158" s="17" t="s">
        <v>300</v>
      </c>
      <c r="C158" s="11" t="s">
        <v>364</v>
      </c>
      <c r="D158" s="24" t="s">
        <v>371</v>
      </c>
      <c r="E158" s="11" t="s">
        <v>1190</v>
      </c>
      <c r="F158" s="11" t="s">
        <v>1191</v>
      </c>
      <c r="G158" s="11" t="s">
        <v>1187</v>
      </c>
      <c r="H158" s="27" t="s">
        <v>522</v>
      </c>
      <c r="I158" s="25" t="s">
        <v>66</v>
      </c>
      <c r="J158" s="11" t="s">
        <v>1176</v>
      </c>
      <c r="K158" s="29" t="s">
        <v>1192</v>
      </c>
      <c r="L158" s="30" t="s">
        <v>1193</v>
      </c>
      <c r="M158" s="11" t="s">
        <v>1179</v>
      </c>
      <c r="N158" s="11" t="s">
        <v>437</v>
      </c>
    </row>
    <row r="159" spans="1:14" ht="103.5" customHeight="1">
      <c r="A159" s="26" t="s">
        <v>372</v>
      </c>
      <c r="B159" s="17" t="s">
        <v>300</v>
      </c>
      <c r="C159" s="11" t="s">
        <v>364</v>
      </c>
      <c r="D159" s="24" t="s">
        <v>373</v>
      </c>
      <c r="E159" s="11" t="s">
        <v>1194</v>
      </c>
      <c r="F159" s="11" t="s">
        <v>1195</v>
      </c>
      <c r="G159" s="11" t="s">
        <v>1196</v>
      </c>
      <c r="H159" s="27" t="s">
        <v>522</v>
      </c>
      <c r="I159" s="25" t="s">
        <v>66</v>
      </c>
      <c r="J159" s="11" t="s">
        <v>1176</v>
      </c>
      <c r="K159" s="29" t="s">
        <v>1197</v>
      </c>
      <c r="L159" s="30" t="s">
        <v>1198</v>
      </c>
      <c r="M159" s="11" t="s">
        <v>1179</v>
      </c>
      <c r="N159" s="11" t="s">
        <v>437</v>
      </c>
    </row>
    <row r="160" spans="1:14" ht="103.5" customHeight="1">
      <c r="A160" s="26" t="s">
        <v>374</v>
      </c>
      <c r="B160" s="17" t="s">
        <v>300</v>
      </c>
      <c r="C160" s="11" t="s">
        <v>364</v>
      </c>
      <c r="D160" s="24" t="s">
        <v>375</v>
      </c>
      <c r="E160" s="11" t="s">
        <v>1199</v>
      </c>
      <c r="F160" s="11" t="s">
        <v>1200</v>
      </c>
      <c r="G160" s="11" t="s">
        <v>1201</v>
      </c>
      <c r="H160" s="27" t="s">
        <v>522</v>
      </c>
      <c r="I160" s="25" t="s">
        <v>66</v>
      </c>
      <c r="J160" s="11" t="s">
        <v>1176</v>
      </c>
      <c r="K160" s="29" t="s">
        <v>1202</v>
      </c>
      <c r="L160" s="30" t="s">
        <v>1203</v>
      </c>
      <c r="M160" s="11" t="s">
        <v>1179</v>
      </c>
      <c r="N160" s="11" t="s">
        <v>437</v>
      </c>
    </row>
    <row r="161" spans="1:14" ht="103.5" customHeight="1">
      <c r="A161" s="26" t="s">
        <v>376</v>
      </c>
      <c r="B161" s="17" t="s">
        <v>300</v>
      </c>
      <c r="C161" s="11" t="s">
        <v>364</v>
      </c>
      <c r="D161" s="24" t="s">
        <v>377</v>
      </c>
      <c r="E161" s="11" t="s">
        <v>1204</v>
      </c>
      <c r="F161" s="11" t="s">
        <v>1205</v>
      </c>
      <c r="G161" s="11" t="s">
        <v>1206</v>
      </c>
      <c r="H161" s="27" t="s">
        <v>522</v>
      </c>
      <c r="I161" s="25" t="s">
        <v>66</v>
      </c>
      <c r="J161" s="11" t="s">
        <v>1176</v>
      </c>
      <c r="K161" s="29" t="s">
        <v>1207</v>
      </c>
      <c r="L161" s="30" t="s">
        <v>1208</v>
      </c>
      <c r="M161" s="11" t="s">
        <v>1179</v>
      </c>
      <c r="N161" s="11" t="s">
        <v>437</v>
      </c>
    </row>
    <row r="162" spans="1:14" ht="103.5" customHeight="1">
      <c r="A162" s="26" t="s">
        <v>378</v>
      </c>
      <c r="B162" s="17" t="s">
        <v>300</v>
      </c>
      <c r="C162" s="11" t="s">
        <v>364</v>
      </c>
      <c r="D162" s="24" t="s">
        <v>379</v>
      </c>
      <c r="E162" s="11" t="s">
        <v>1209</v>
      </c>
      <c r="F162" s="11" t="s">
        <v>1210</v>
      </c>
      <c r="G162" s="11" t="s">
        <v>1211</v>
      </c>
      <c r="H162" s="27" t="s">
        <v>1054</v>
      </c>
      <c r="I162" s="28" t="s">
        <v>432</v>
      </c>
      <c r="J162" s="11" t="s">
        <v>1176</v>
      </c>
      <c r="K162" s="29" t="s">
        <v>1212</v>
      </c>
      <c r="L162" s="30" t="s">
        <v>1213</v>
      </c>
      <c r="M162" s="11" t="s">
        <v>1179</v>
      </c>
      <c r="N162" s="11" t="s">
        <v>437</v>
      </c>
    </row>
    <row r="163" spans="1:14" ht="103.5" customHeight="1">
      <c r="A163" s="26" t="s">
        <v>380</v>
      </c>
      <c r="B163" s="17" t="s">
        <v>300</v>
      </c>
      <c r="C163" s="11" t="s">
        <v>364</v>
      </c>
      <c r="D163" s="24" t="s">
        <v>381</v>
      </c>
      <c r="E163" s="11" t="s">
        <v>1214</v>
      </c>
      <c r="F163" s="11" t="s">
        <v>1215</v>
      </c>
      <c r="G163" s="11" t="s">
        <v>1216</v>
      </c>
      <c r="H163" s="27" t="s">
        <v>522</v>
      </c>
      <c r="I163" s="25" t="s">
        <v>66</v>
      </c>
      <c r="J163" s="11" t="s">
        <v>1176</v>
      </c>
      <c r="K163" s="29" t="s">
        <v>1217</v>
      </c>
      <c r="L163" s="30" t="s">
        <v>1218</v>
      </c>
      <c r="M163" s="11" t="s">
        <v>1179</v>
      </c>
      <c r="N163" s="11" t="s">
        <v>437</v>
      </c>
    </row>
    <row r="164" spans="1:14" ht="103.5" customHeight="1">
      <c r="A164" s="26" t="s">
        <v>382</v>
      </c>
      <c r="B164" s="17" t="s">
        <v>300</v>
      </c>
      <c r="C164" s="11" t="s">
        <v>364</v>
      </c>
      <c r="D164" s="24" t="s">
        <v>383</v>
      </c>
      <c r="E164" s="11" t="s">
        <v>1219</v>
      </c>
      <c r="F164" s="11" t="s">
        <v>1220</v>
      </c>
      <c r="G164" s="11" t="s">
        <v>1221</v>
      </c>
      <c r="H164" s="27" t="s">
        <v>479</v>
      </c>
      <c r="I164" s="25" t="s">
        <v>66</v>
      </c>
      <c r="J164" s="11" t="s">
        <v>1176</v>
      </c>
      <c r="K164" s="29" t="s">
        <v>1222</v>
      </c>
      <c r="L164" s="30" t="s">
        <v>1223</v>
      </c>
      <c r="M164" s="11" t="s">
        <v>1179</v>
      </c>
      <c r="N164" s="11" t="s">
        <v>437</v>
      </c>
    </row>
    <row r="165" spans="1:14" ht="103.5" customHeight="1">
      <c r="A165" s="26" t="s">
        <v>384</v>
      </c>
      <c r="B165" s="17" t="s">
        <v>300</v>
      </c>
      <c r="C165" s="11" t="s">
        <v>385</v>
      </c>
      <c r="D165" s="24" t="s">
        <v>386</v>
      </c>
      <c r="E165" s="11" t="s">
        <v>1224</v>
      </c>
      <c r="F165" s="11" t="s">
        <v>1225</v>
      </c>
      <c r="G165" s="11" t="s">
        <v>1226</v>
      </c>
      <c r="H165" s="27" t="s">
        <v>839</v>
      </c>
      <c r="I165" s="28" t="s">
        <v>432</v>
      </c>
      <c r="J165" s="11" t="s">
        <v>1227</v>
      </c>
      <c r="K165" s="29" t="s">
        <v>1228</v>
      </c>
      <c r="L165" s="30" t="s">
        <v>1229</v>
      </c>
      <c r="M165" s="11" t="s">
        <v>1230</v>
      </c>
      <c r="N165" s="11" t="s">
        <v>437</v>
      </c>
    </row>
    <row r="166" spans="1:14" ht="103.5" customHeight="1">
      <c r="A166" s="26" t="s">
        <v>387</v>
      </c>
      <c r="B166" s="17" t="s">
        <v>300</v>
      </c>
      <c r="C166" s="11" t="s">
        <v>385</v>
      </c>
      <c r="D166" s="24" t="s">
        <v>388</v>
      </c>
      <c r="E166" s="11" t="s">
        <v>1231</v>
      </c>
      <c r="F166" s="11" t="s">
        <v>1232</v>
      </c>
      <c r="G166" s="11" t="s">
        <v>1233</v>
      </c>
      <c r="H166" s="27" t="s">
        <v>1234</v>
      </c>
      <c r="I166" s="28" t="s">
        <v>432</v>
      </c>
      <c r="J166" s="11" t="s">
        <v>1227</v>
      </c>
      <c r="K166" s="29" t="s">
        <v>1235</v>
      </c>
      <c r="L166" s="30" t="s">
        <v>1236</v>
      </c>
      <c r="M166" s="11" t="s">
        <v>1230</v>
      </c>
      <c r="N166" s="11" t="s">
        <v>437</v>
      </c>
    </row>
    <row r="167" spans="1:14" ht="103.5" customHeight="1">
      <c r="A167" s="26" t="s">
        <v>389</v>
      </c>
      <c r="B167" s="17" t="s">
        <v>300</v>
      </c>
      <c r="C167" s="11" t="s">
        <v>385</v>
      </c>
      <c r="D167" s="24" t="s">
        <v>390</v>
      </c>
      <c r="E167" s="11" t="s">
        <v>1237</v>
      </c>
      <c r="F167" s="11" t="s">
        <v>1238</v>
      </c>
      <c r="G167" s="11" t="s">
        <v>1239</v>
      </c>
      <c r="H167" s="27" t="s">
        <v>839</v>
      </c>
      <c r="I167" s="28" t="s">
        <v>432</v>
      </c>
      <c r="J167" s="11" t="s">
        <v>1227</v>
      </c>
      <c r="K167" s="29" t="s">
        <v>1240</v>
      </c>
      <c r="L167" s="30" t="s">
        <v>1241</v>
      </c>
      <c r="M167" s="11" t="s">
        <v>1230</v>
      </c>
      <c r="N167" s="11" t="s">
        <v>437</v>
      </c>
    </row>
    <row r="168" spans="1:14" ht="103.5" customHeight="1">
      <c r="A168" s="26" t="s">
        <v>391</v>
      </c>
      <c r="B168" s="17" t="s">
        <v>300</v>
      </c>
      <c r="C168" s="11" t="s">
        <v>385</v>
      </c>
      <c r="D168" s="24" t="s">
        <v>392</v>
      </c>
      <c r="E168" s="11" t="s">
        <v>1242</v>
      </c>
      <c r="F168" s="11" t="s">
        <v>1243</v>
      </c>
      <c r="G168" s="11" t="s">
        <v>1244</v>
      </c>
      <c r="H168" s="27" t="s">
        <v>1245</v>
      </c>
      <c r="I168" s="28" t="s">
        <v>432</v>
      </c>
      <c r="J168" s="11" t="s">
        <v>1227</v>
      </c>
      <c r="K168" s="29" t="s">
        <v>1246</v>
      </c>
      <c r="L168" s="30" t="s">
        <v>1247</v>
      </c>
      <c r="M168" s="11" t="s">
        <v>1230</v>
      </c>
      <c r="N168" s="11" t="s">
        <v>437</v>
      </c>
    </row>
    <row r="169" spans="1:14" ht="103.5" customHeight="1">
      <c r="A169" s="26" t="s">
        <v>393</v>
      </c>
      <c r="B169" s="17" t="s">
        <v>300</v>
      </c>
      <c r="C169" s="11" t="s">
        <v>385</v>
      </c>
      <c r="D169" s="24" t="s">
        <v>394</v>
      </c>
      <c r="E169" s="11" t="s">
        <v>1248</v>
      </c>
      <c r="F169" s="11" t="s">
        <v>1249</v>
      </c>
      <c r="G169" s="11" t="s">
        <v>1250</v>
      </c>
      <c r="H169" s="27" t="s">
        <v>1245</v>
      </c>
      <c r="I169" s="28" t="s">
        <v>432</v>
      </c>
      <c r="J169" s="11" t="s">
        <v>1227</v>
      </c>
      <c r="K169" s="29" t="s">
        <v>1251</v>
      </c>
      <c r="L169" s="30" t="s">
        <v>1252</v>
      </c>
      <c r="M169" s="11" t="s">
        <v>1230</v>
      </c>
      <c r="N169" s="11" t="s">
        <v>437</v>
      </c>
    </row>
    <row r="170" spans="1:14" ht="103.5" customHeight="1">
      <c r="A170" s="26" t="s">
        <v>395</v>
      </c>
      <c r="B170" s="17" t="s">
        <v>300</v>
      </c>
      <c r="C170" s="11" t="s">
        <v>385</v>
      </c>
      <c r="D170" s="24" t="s">
        <v>396</v>
      </c>
      <c r="E170" s="11" t="s">
        <v>1253</v>
      </c>
      <c r="F170" s="11" t="s">
        <v>1254</v>
      </c>
      <c r="G170" s="11" t="s">
        <v>1255</v>
      </c>
      <c r="H170" s="27" t="s">
        <v>1245</v>
      </c>
      <c r="I170" s="28" t="s">
        <v>432</v>
      </c>
      <c r="J170" s="11" t="s">
        <v>1227</v>
      </c>
      <c r="K170" s="29" t="s">
        <v>1256</v>
      </c>
      <c r="L170" s="30" t="s">
        <v>1257</v>
      </c>
      <c r="M170" s="11" t="s">
        <v>1230</v>
      </c>
      <c r="N170" s="11" t="s">
        <v>437</v>
      </c>
    </row>
    <row r="171" spans="1:14" ht="103.5" customHeight="1">
      <c r="A171" s="26" t="s">
        <v>397</v>
      </c>
      <c r="B171" s="17" t="s">
        <v>300</v>
      </c>
      <c r="C171" s="11" t="s">
        <v>385</v>
      </c>
      <c r="D171" s="24" t="s">
        <v>398</v>
      </c>
      <c r="E171" s="11" t="s">
        <v>1258</v>
      </c>
      <c r="F171" s="11" t="s">
        <v>1259</v>
      </c>
      <c r="G171" s="11" t="s">
        <v>1260</v>
      </c>
      <c r="H171" s="27" t="s">
        <v>839</v>
      </c>
      <c r="I171" s="28" t="s">
        <v>432</v>
      </c>
      <c r="J171" s="11" t="s">
        <v>1227</v>
      </c>
      <c r="K171" s="29" t="s">
        <v>1261</v>
      </c>
      <c r="L171" s="30" t="s">
        <v>1262</v>
      </c>
      <c r="M171" s="11" t="s">
        <v>1230</v>
      </c>
      <c r="N171" s="11" t="s">
        <v>437</v>
      </c>
    </row>
    <row r="172" spans="1:14" ht="103.5" customHeight="1">
      <c r="A172" s="26" t="s">
        <v>399</v>
      </c>
      <c r="B172" s="17" t="s">
        <v>300</v>
      </c>
      <c r="C172" s="11" t="s">
        <v>385</v>
      </c>
      <c r="D172" s="24" t="s">
        <v>400</v>
      </c>
      <c r="E172" s="11" t="s">
        <v>1263</v>
      </c>
      <c r="F172" s="11" t="s">
        <v>1264</v>
      </c>
      <c r="G172" s="11" t="s">
        <v>1265</v>
      </c>
      <c r="H172" s="27" t="s">
        <v>1245</v>
      </c>
      <c r="I172" s="28" t="s">
        <v>432</v>
      </c>
      <c r="J172" s="11" t="s">
        <v>1227</v>
      </c>
      <c r="K172" s="29" t="s">
        <v>1266</v>
      </c>
      <c r="L172" s="30" t="s">
        <v>1267</v>
      </c>
      <c r="M172" s="11" t="s">
        <v>1230</v>
      </c>
      <c r="N172" s="11" t="s">
        <v>437</v>
      </c>
    </row>
    <row r="173" spans="1:14" ht="103.5" customHeight="1">
      <c r="A173" s="26" t="s">
        <v>401</v>
      </c>
      <c r="B173" s="17" t="s">
        <v>300</v>
      </c>
      <c r="C173" s="11" t="s">
        <v>385</v>
      </c>
      <c r="D173" s="24" t="s">
        <v>402</v>
      </c>
      <c r="E173" s="11" t="s">
        <v>1268</v>
      </c>
      <c r="F173" s="11" t="s">
        <v>1269</v>
      </c>
      <c r="G173" s="11" t="s">
        <v>1270</v>
      </c>
      <c r="H173" s="27" t="s">
        <v>1245</v>
      </c>
      <c r="I173" s="28" t="s">
        <v>432</v>
      </c>
      <c r="J173" s="11" t="s">
        <v>1227</v>
      </c>
      <c r="K173" s="29" t="s">
        <v>1271</v>
      </c>
      <c r="L173" s="30" t="s">
        <v>1272</v>
      </c>
      <c r="M173" s="11" t="s">
        <v>1230</v>
      </c>
      <c r="N173" s="11" t="s">
        <v>437</v>
      </c>
    </row>
    <row r="174" spans="1:14" ht="103.5" customHeight="1">
      <c r="A174" s="26" t="s">
        <v>403</v>
      </c>
      <c r="B174" s="17" t="s">
        <v>300</v>
      </c>
      <c r="C174" s="11" t="s">
        <v>385</v>
      </c>
      <c r="D174" s="24" t="s">
        <v>404</v>
      </c>
      <c r="E174" s="11" t="s">
        <v>1273</v>
      </c>
      <c r="F174" s="11" t="s">
        <v>1274</v>
      </c>
      <c r="G174" s="11" t="s">
        <v>1275</v>
      </c>
      <c r="H174" s="27" t="s">
        <v>522</v>
      </c>
      <c r="I174" s="25" t="s">
        <v>66</v>
      </c>
      <c r="J174" s="11" t="s">
        <v>1227</v>
      </c>
      <c r="K174" s="29" t="s">
        <v>1276</v>
      </c>
      <c r="L174" s="30" t="s">
        <v>1277</v>
      </c>
      <c r="M174" s="11" t="s">
        <v>1230</v>
      </c>
      <c r="N174" s="11" t="s">
        <v>437</v>
      </c>
    </row>
  </sheetData>
  <autoFilter ref="A4:N174" xr:uid="{00000000-0009-0000-0000-000003000000}">
    <filterColumn colId="1">
      <filters>
        <filter val="Voice"/>
      </filters>
    </filterColumn>
  </autoFilter>
  <hyperlinks>
    <hyperlink ref="I5" r:id="rId1" xr:uid="{00000000-0004-0000-0300-000000000000}"/>
    <hyperlink ref="I6" r:id="rId2" xr:uid="{00000000-0004-0000-0300-000001000000}"/>
    <hyperlink ref="I7" r:id="rId3" xr:uid="{00000000-0004-0000-0300-000002000000}"/>
    <hyperlink ref="I8" r:id="rId4" xr:uid="{00000000-0004-0000-0300-000003000000}"/>
    <hyperlink ref="I9" r:id="rId5" xr:uid="{00000000-0004-0000-0300-000004000000}"/>
    <hyperlink ref="I10" r:id="rId6" xr:uid="{00000000-0004-0000-0300-000005000000}"/>
    <hyperlink ref="I11" r:id="rId7" xr:uid="{00000000-0004-0000-0300-000006000000}"/>
    <hyperlink ref="I12" r:id="rId8" xr:uid="{00000000-0004-0000-0300-000007000000}"/>
    <hyperlink ref="I14" r:id="rId9" xr:uid="{00000000-0004-0000-0300-000008000000}"/>
    <hyperlink ref="I23" r:id="rId10" xr:uid="{00000000-0004-0000-0300-000009000000}"/>
    <hyperlink ref="I25" r:id="rId11" xr:uid="{00000000-0004-0000-0300-00000A000000}"/>
    <hyperlink ref="I26" r:id="rId12" xr:uid="{00000000-0004-0000-0300-00000B000000}"/>
    <hyperlink ref="I29" r:id="rId13" xr:uid="{00000000-0004-0000-0300-00000C000000}"/>
    <hyperlink ref="I30" r:id="rId14" xr:uid="{00000000-0004-0000-0300-00000D000000}"/>
    <hyperlink ref="I32" r:id="rId15" xr:uid="{00000000-0004-0000-0300-00000E000000}"/>
    <hyperlink ref="I33" r:id="rId16" xr:uid="{00000000-0004-0000-0300-00000F000000}"/>
    <hyperlink ref="I35" r:id="rId17" xr:uid="{00000000-0004-0000-0300-000010000000}"/>
    <hyperlink ref="I36" r:id="rId18" xr:uid="{00000000-0004-0000-0300-000011000000}"/>
    <hyperlink ref="I37" r:id="rId19" xr:uid="{00000000-0004-0000-0300-000012000000}"/>
    <hyperlink ref="I38" r:id="rId20" xr:uid="{00000000-0004-0000-0300-000013000000}"/>
    <hyperlink ref="I39" r:id="rId21" xr:uid="{00000000-0004-0000-0300-000014000000}"/>
    <hyperlink ref="I40" r:id="rId22" xr:uid="{00000000-0004-0000-0300-000015000000}"/>
    <hyperlink ref="I41" r:id="rId23" xr:uid="{00000000-0004-0000-0300-000016000000}"/>
    <hyperlink ref="I42" r:id="rId24" xr:uid="{00000000-0004-0000-0300-000017000000}"/>
    <hyperlink ref="I43" r:id="rId25" xr:uid="{00000000-0004-0000-0300-000018000000}"/>
    <hyperlink ref="I44" r:id="rId26" xr:uid="{00000000-0004-0000-0300-000019000000}"/>
    <hyperlink ref="I48" r:id="rId27" xr:uid="{00000000-0004-0000-0300-00001A000000}"/>
    <hyperlink ref="I55" r:id="rId28" xr:uid="{00000000-0004-0000-0300-00001B000000}"/>
    <hyperlink ref="I56" r:id="rId29" xr:uid="{00000000-0004-0000-0300-00001C000000}"/>
    <hyperlink ref="I57" r:id="rId30" xr:uid="{00000000-0004-0000-0300-00001D000000}"/>
    <hyperlink ref="I58" r:id="rId31" xr:uid="{00000000-0004-0000-0300-00001E000000}"/>
    <hyperlink ref="I59" r:id="rId32" xr:uid="{00000000-0004-0000-0300-00001F000000}"/>
    <hyperlink ref="I60" r:id="rId33" xr:uid="{00000000-0004-0000-0300-000020000000}"/>
    <hyperlink ref="I62" r:id="rId34" xr:uid="{00000000-0004-0000-0300-000021000000}"/>
    <hyperlink ref="I63" r:id="rId35" xr:uid="{00000000-0004-0000-0300-000022000000}"/>
    <hyperlink ref="I74" r:id="rId36" xr:uid="{00000000-0004-0000-0300-000023000000}"/>
    <hyperlink ref="I75" r:id="rId37" xr:uid="{00000000-0004-0000-0300-000024000000}"/>
    <hyperlink ref="I76" r:id="rId38" xr:uid="{00000000-0004-0000-0300-000025000000}"/>
    <hyperlink ref="I77" r:id="rId39" xr:uid="{00000000-0004-0000-0300-000026000000}"/>
    <hyperlink ref="I78" r:id="rId40" xr:uid="{00000000-0004-0000-0300-000027000000}"/>
    <hyperlink ref="I80" r:id="rId41" xr:uid="{00000000-0004-0000-0300-000028000000}"/>
    <hyperlink ref="I81" r:id="rId42" xr:uid="{00000000-0004-0000-0300-000029000000}"/>
    <hyperlink ref="I82" r:id="rId43" xr:uid="{00000000-0004-0000-0300-00002A000000}"/>
    <hyperlink ref="I85" r:id="rId44" xr:uid="{00000000-0004-0000-0300-00002B000000}"/>
    <hyperlink ref="I86" r:id="rId45" xr:uid="{00000000-0004-0000-0300-00002C000000}"/>
    <hyperlink ref="I88" r:id="rId46" xr:uid="{00000000-0004-0000-0300-00002D000000}"/>
    <hyperlink ref="I90" r:id="rId47" xr:uid="{00000000-0004-0000-0300-00002E000000}"/>
    <hyperlink ref="I95" r:id="rId48" xr:uid="{00000000-0004-0000-0300-00002F000000}"/>
    <hyperlink ref="I96" r:id="rId49" xr:uid="{00000000-0004-0000-0300-000030000000}"/>
    <hyperlink ref="I97" r:id="rId50" xr:uid="{00000000-0004-0000-0300-000031000000}"/>
    <hyperlink ref="I98" r:id="rId51" xr:uid="{00000000-0004-0000-0300-000032000000}"/>
    <hyperlink ref="I99" r:id="rId52" xr:uid="{00000000-0004-0000-0300-000033000000}"/>
    <hyperlink ref="I100" r:id="rId53" xr:uid="{00000000-0004-0000-0300-000034000000}"/>
    <hyperlink ref="I101" r:id="rId54" xr:uid="{00000000-0004-0000-0300-000035000000}"/>
    <hyperlink ref="I102" r:id="rId55" xr:uid="{00000000-0004-0000-0300-000036000000}"/>
    <hyperlink ref="I104" r:id="rId56" xr:uid="{00000000-0004-0000-0300-000037000000}"/>
    <hyperlink ref="I105" r:id="rId57" xr:uid="{00000000-0004-0000-0300-000038000000}"/>
    <hyperlink ref="I106" r:id="rId58" xr:uid="{00000000-0004-0000-0300-000039000000}"/>
    <hyperlink ref="I107" r:id="rId59" xr:uid="{00000000-0004-0000-0300-00003A000000}"/>
    <hyperlink ref="I108" r:id="rId60" xr:uid="{00000000-0004-0000-0300-00003B000000}"/>
    <hyperlink ref="I109" r:id="rId61" xr:uid="{00000000-0004-0000-0300-00003C000000}"/>
    <hyperlink ref="I110" r:id="rId62" xr:uid="{00000000-0004-0000-0300-00003D000000}"/>
    <hyperlink ref="I111" r:id="rId63" xr:uid="{00000000-0004-0000-0300-00003E000000}"/>
    <hyperlink ref="I112" r:id="rId64" xr:uid="{00000000-0004-0000-0300-00003F000000}"/>
    <hyperlink ref="I113" r:id="rId65" xr:uid="{00000000-0004-0000-0300-000040000000}"/>
    <hyperlink ref="I114" r:id="rId66" xr:uid="{00000000-0004-0000-0300-000041000000}"/>
    <hyperlink ref="I125" r:id="rId67" xr:uid="{00000000-0004-0000-0300-000042000000}"/>
    <hyperlink ref="I126" r:id="rId68" xr:uid="{00000000-0004-0000-0300-000043000000}"/>
    <hyperlink ref="I128" r:id="rId69" xr:uid="{00000000-0004-0000-0300-000044000000}"/>
    <hyperlink ref="I129" r:id="rId70" xr:uid="{00000000-0004-0000-0300-000045000000}"/>
    <hyperlink ref="I130" r:id="rId71" xr:uid="{00000000-0004-0000-0300-000046000000}"/>
    <hyperlink ref="I131" r:id="rId72" xr:uid="{00000000-0004-0000-0300-000047000000}"/>
    <hyperlink ref="I132" r:id="rId73" xr:uid="{00000000-0004-0000-0300-000048000000}"/>
    <hyperlink ref="I133" r:id="rId74" xr:uid="{00000000-0004-0000-0300-000049000000}"/>
    <hyperlink ref="I134" r:id="rId75" xr:uid="{00000000-0004-0000-0300-00004A000000}"/>
    <hyperlink ref="I137" r:id="rId76" xr:uid="{00000000-0004-0000-0300-00004B000000}"/>
    <hyperlink ref="I139" r:id="rId77" xr:uid="{00000000-0004-0000-0300-00004C000000}"/>
    <hyperlink ref="I144" r:id="rId78" xr:uid="{00000000-0004-0000-0300-00004D000000}"/>
    <hyperlink ref="I145" r:id="rId79" xr:uid="{00000000-0004-0000-0300-00004E000000}"/>
    <hyperlink ref="I146" r:id="rId80" xr:uid="{00000000-0004-0000-0300-00004F000000}"/>
    <hyperlink ref="I147" r:id="rId81" xr:uid="{00000000-0004-0000-0300-000050000000}"/>
    <hyperlink ref="I148" r:id="rId82" xr:uid="{00000000-0004-0000-0300-000051000000}"/>
    <hyperlink ref="I149" r:id="rId83" xr:uid="{00000000-0004-0000-0300-000052000000}"/>
    <hyperlink ref="I150" r:id="rId84" xr:uid="{00000000-0004-0000-0300-000053000000}"/>
    <hyperlink ref="I151" r:id="rId85" xr:uid="{00000000-0004-0000-0300-000054000000}"/>
    <hyperlink ref="I152" r:id="rId86" xr:uid="{00000000-0004-0000-0300-000055000000}"/>
    <hyperlink ref="I153" r:id="rId87" xr:uid="{00000000-0004-0000-0300-000056000000}"/>
    <hyperlink ref="I154" r:id="rId88" xr:uid="{00000000-0004-0000-0300-000057000000}"/>
    <hyperlink ref="I156" r:id="rId89" xr:uid="{00000000-0004-0000-0300-000058000000}"/>
    <hyperlink ref="I162" r:id="rId90" xr:uid="{00000000-0004-0000-0300-000059000000}"/>
    <hyperlink ref="I165" r:id="rId91" xr:uid="{00000000-0004-0000-0300-00005A000000}"/>
    <hyperlink ref="I166" r:id="rId92" xr:uid="{00000000-0004-0000-0300-00005B000000}"/>
    <hyperlink ref="I167" r:id="rId93" xr:uid="{00000000-0004-0000-0300-00005C000000}"/>
    <hyperlink ref="I168" r:id="rId94" xr:uid="{00000000-0004-0000-0300-00005D000000}"/>
    <hyperlink ref="I169" r:id="rId95" xr:uid="{00000000-0004-0000-0300-00005E000000}"/>
    <hyperlink ref="I170" r:id="rId96" xr:uid="{00000000-0004-0000-0300-00005F000000}"/>
    <hyperlink ref="I171" r:id="rId97" xr:uid="{00000000-0004-0000-0300-000060000000}"/>
    <hyperlink ref="I172" r:id="rId98" xr:uid="{00000000-0004-0000-0300-000061000000}"/>
    <hyperlink ref="I173" r:id="rId99" xr:uid="{00000000-0004-0000-0300-000062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1"/>
  <sheetViews>
    <sheetView showGridLines="0" topLeftCell="A7" zoomScaleNormal="100" workbookViewId="0"/>
  </sheetViews>
  <sheetFormatPr defaultColWidth="8.7109375" defaultRowHeight="15"/>
  <cols>
    <col min="1" max="1" width="126" customWidth="1"/>
  </cols>
  <sheetData>
    <row r="1" spans="1:1" ht="18" customHeight="1">
      <c r="A1" s="1" t="s">
        <v>1278</v>
      </c>
    </row>
    <row r="2" spans="1:1" ht="23.25" customHeight="1">
      <c r="A2" s="2" t="s">
        <v>1279</v>
      </c>
    </row>
    <row r="3" spans="1:1" ht="15" customHeight="1">
      <c r="A3" s="3"/>
    </row>
    <row r="4" spans="1:1" ht="15" customHeight="1">
      <c r="A4" s="4" t="s">
        <v>1280</v>
      </c>
    </row>
    <row r="5" spans="1:1" ht="15" customHeight="1">
      <c r="A5" s="3" t="s">
        <v>1281</v>
      </c>
    </row>
    <row r="6" spans="1:1" ht="15" customHeight="1">
      <c r="A6" s="3" t="s">
        <v>1282</v>
      </c>
    </row>
    <row r="7" spans="1:1" ht="23.25" customHeight="1">
      <c r="A7" s="3" t="s">
        <v>1283</v>
      </c>
    </row>
    <row r="8" spans="1:1" ht="15" customHeight="1">
      <c r="A8" s="3" t="s">
        <v>1284</v>
      </c>
    </row>
    <row r="9" spans="1:1" ht="15" customHeight="1">
      <c r="A9" s="3" t="s">
        <v>1285</v>
      </c>
    </row>
    <row r="10" spans="1:1" ht="15" customHeight="1">
      <c r="A10" s="3" t="s">
        <v>1286</v>
      </c>
    </row>
    <row r="11" spans="1:1" ht="15" customHeight="1">
      <c r="A11" s="3" t="s">
        <v>1287</v>
      </c>
    </row>
    <row r="12" spans="1:1" ht="15" customHeight="1">
      <c r="A12" s="3" t="s">
        <v>1288</v>
      </c>
    </row>
    <row r="13" spans="1:1" ht="15" customHeight="1">
      <c r="A13" s="3"/>
    </row>
    <row r="14" spans="1:1" ht="15" customHeight="1">
      <c r="A14" s="4" t="s">
        <v>1289</v>
      </c>
    </row>
    <row r="15" spans="1:1" ht="15" customHeight="1">
      <c r="A15" s="3" t="s">
        <v>1290</v>
      </c>
    </row>
    <row r="16" spans="1:1" ht="15" customHeight="1">
      <c r="A16" s="3" t="s">
        <v>1291</v>
      </c>
    </row>
    <row r="17" spans="1:1" ht="15" customHeight="1">
      <c r="A17" s="3" t="s">
        <v>1292</v>
      </c>
    </row>
    <row r="18" spans="1:1" ht="15" customHeight="1">
      <c r="A18" s="3" t="s">
        <v>1293</v>
      </c>
    </row>
    <row r="19" spans="1:1" ht="15" customHeight="1">
      <c r="A19" s="3" t="s">
        <v>1294</v>
      </c>
    </row>
    <row r="20" spans="1:1" ht="15" customHeight="1">
      <c r="A20" s="3"/>
    </row>
    <row r="21" spans="1:1" ht="15" customHeight="1">
      <c r="A21" s="4" t="s">
        <v>1295</v>
      </c>
    </row>
    <row r="22" spans="1:1" ht="23.25" customHeight="1">
      <c r="A22" s="3" t="s">
        <v>1296</v>
      </c>
    </row>
    <row r="23" spans="1:1" ht="15" customHeight="1">
      <c r="A23" s="3" t="s">
        <v>1297</v>
      </c>
    </row>
    <row r="24" spans="1:1" ht="15" customHeight="1">
      <c r="A24" s="3" t="s">
        <v>1298</v>
      </c>
    </row>
    <row r="25" spans="1:1" ht="15" customHeight="1">
      <c r="A25" s="3" t="s">
        <v>1299</v>
      </c>
    </row>
    <row r="26" spans="1:1" ht="15" customHeight="1">
      <c r="A26" s="3"/>
    </row>
    <row r="27" spans="1:1" ht="15" customHeight="1">
      <c r="A27" s="4" t="s">
        <v>1300</v>
      </c>
    </row>
    <row r="28" spans="1:1" ht="23.25" customHeight="1">
      <c r="A28" s="3" t="s">
        <v>1301</v>
      </c>
    </row>
    <row r="29" spans="1:1" ht="15" customHeight="1">
      <c r="A29" s="3"/>
    </row>
    <row r="30" spans="1:1" ht="15" customHeight="1">
      <c r="A30" s="4" t="s">
        <v>1302</v>
      </c>
    </row>
    <row r="31" spans="1:1" ht="23.25" customHeight="1">
      <c r="A31" s="3" t="s">
        <v>1303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4"/>
  <sheetViews>
    <sheetView showGridLines="0" zoomScaleNormal="100" workbookViewId="0">
      <pane ySplit="4" topLeftCell="A5" activePane="bottomLeft" state="frozen"/>
      <selection pane="bottomLeft"/>
    </sheetView>
  </sheetViews>
  <sheetFormatPr defaultColWidth="8.7109375" defaultRowHeight="15"/>
  <cols>
    <col min="1" max="1" width="42" customWidth="1"/>
    <col min="2" max="2" width="26" customWidth="1"/>
    <col min="3" max="3" width="32" customWidth="1"/>
    <col min="4" max="4" width="10" customWidth="1"/>
    <col min="5" max="5" width="34" customWidth="1"/>
    <col min="6" max="6" width="38" customWidth="1"/>
    <col min="7" max="7" width="66" customWidth="1"/>
  </cols>
  <sheetData>
    <row r="1" spans="1:7" ht="18" customHeight="1">
      <c r="A1" s="6" t="s">
        <v>1304</v>
      </c>
    </row>
    <row r="2" spans="1:7" ht="15" customHeight="1">
      <c r="A2" s="7" t="s">
        <v>1305</v>
      </c>
    </row>
    <row r="4" spans="1:7" ht="33.75" customHeight="1">
      <c r="A4" s="8" t="s">
        <v>1306</v>
      </c>
      <c r="B4" s="8" t="s">
        <v>1307</v>
      </c>
      <c r="C4" s="8" t="s">
        <v>1308</v>
      </c>
      <c r="D4" s="8" t="s">
        <v>1309</v>
      </c>
      <c r="E4" s="8" t="s">
        <v>1310</v>
      </c>
      <c r="F4" s="8" t="s">
        <v>1311</v>
      </c>
      <c r="G4" s="8" t="s">
        <v>1312</v>
      </c>
    </row>
    <row r="5" spans="1:7" ht="75.75" customHeight="1">
      <c r="A5" s="32" t="s">
        <v>1313</v>
      </c>
      <c r="B5" s="11" t="s">
        <v>1314</v>
      </c>
      <c r="C5" s="11" t="s">
        <v>1315</v>
      </c>
      <c r="D5" s="33" t="s">
        <v>1316</v>
      </c>
      <c r="E5" s="34" t="s">
        <v>1317</v>
      </c>
      <c r="F5" s="11" t="s">
        <v>1318</v>
      </c>
      <c r="G5" s="11" t="s">
        <v>1319</v>
      </c>
    </row>
    <row r="6" spans="1:7" ht="75.75" customHeight="1">
      <c r="A6" s="32" t="s">
        <v>1320</v>
      </c>
      <c r="B6" s="11" t="s">
        <v>1321</v>
      </c>
      <c r="C6" s="11" t="s">
        <v>441</v>
      </c>
      <c r="D6" s="33" t="s">
        <v>1316</v>
      </c>
      <c r="E6" s="29" t="s">
        <v>1322</v>
      </c>
      <c r="F6" s="11" t="s">
        <v>1323</v>
      </c>
      <c r="G6" s="11" t="s">
        <v>1324</v>
      </c>
    </row>
    <row r="7" spans="1:7" ht="75.75" customHeight="1">
      <c r="A7" s="32" t="s">
        <v>1325</v>
      </c>
      <c r="B7" s="11" t="s">
        <v>1326</v>
      </c>
      <c r="C7" s="11" t="s">
        <v>1327</v>
      </c>
      <c r="D7" s="35" t="s">
        <v>1328</v>
      </c>
      <c r="E7" s="29" t="s">
        <v>1329</v>
      </c>
      <c r="F7" s="11" t="s">
        <v>1330</v>
      </c>
      <c r="G7" s="11" t="s">
        <v>1331</v>
      </c>
    </row>
    <row r="8" spans="1:7" ht="75.75" customHeight="1">
      <c r="A8" s="32" t="s">
        <v>1332</v>
      </c>
      <c r="B8" s="11" t="s">
        <v>1333</v>
      </c>
      <c r="C8" s="11" t="s">
        <v>1334</v>
      </c>
      <c r="D8" s="33" t="s">
        <v>1316</v>
      </c>
      <c r="E8" s="34" t="s">
        <v>1335</v>
      </c>
      <c r="F8" s="11" t="s">
        <v>1336</v>
      </c>
      <c r="G8" s="11" t="s">
        <v>1337</v>
      </c>
    </row>
    <row r="9" spans="1:7" ht="75.75" customHeight="1">
      <c r="A9" s="32" t="s">
        <v>1338</v>
      </c>
      <c r="B9" s="11" t="s">
        <v>1339</v>
      </c>
      <c r="C9" s="11" t="s">
        <v>1340</v>
      </c>
      <c r="D9" s="35" t="s">
        <v>1328</v>
      </c>
      <c r="E9" s="34" t="s">
        <v>1341</v>
      </c>
      <c r="F9" s="11" t="s">
        <v>1342</v>
      </c>
      <c r="G9" s="11" t="s">
        <v>1343</v>
      </c>
    </row>
    <row r="10" spans="1:7" ht="75.75" customHeight="1">
      <c r="A10" s="32" t="s">
        <v>1344</v>
      </c>
      <c r="B10" s="11" t="s">
        <v>1345</v>
      </c>
      <c r="C10" s="11" t="s">
        <v>1346</v>
      </c>
      <c r="D10" s="33" t="s">
        <v>1316</v>
      </c>
      <c r="E10" s="34" t="s">
        <v>1347</v>
      </c>
      <c r="F10" s="11" t="s">
        <v>1348</v>
      </c>
      <c r="G10" s="11" t="s">
        <v>1349</v>
      </c>
    </row>
    <row r="11" spans="1:7" ht="75.75" customHeight="1">
      <c r="A11" s="32" t="s">
        <v>1350</v>
      </c>
      <c r="B11" s="11" t="s">
        <v>1351</v>
      </c>
      <c r="C11" s="11" t="s">
        <v>1352</v>
      </c>
      <c r="D11" s="33" t="s">
        <v>1316</v>
      </c>
      <c r="E11" s="36" t="s">
        <v>1353</v>
      </c>
      <c r="F11" s="11" t="s">
        <v>1354</v>
      </c>
      <c r="G11" s="11" t="s">
        <v>1355</v>
      </c>
    </row>
    <row r="12" spans="1:7" ht="75.75" customHeight="1">
      <c r="A12" s="32" t="s">
        <v>1356</v>
      </c>
      <c r="B12" s="11" t="s">
        <v>1357</v>
      </c>
      <c r="C12" s="11" t="s">
        <v>1358</v>
      </c>
      <c r="D12" s="37" t="s">
        <v>1359</v>
      </c>
      <c r="E12" s="34" t="s">
        <v>1360</v>
      </c>
      <c r="F12" s="11" t="s">
        <v>1361</v>
      </c>
      <c r="G12" s="11" t="s">
        <v>1362</v>
      </c>
    </row>
    <row r="13" spans="1:7" ht="75.75" customHeight="1">
      <c r="A13" s="32" t="s">
        <v>1363</v>
      </c>
      <c r="B13" s="11" t="s">
        <v>75</v>
      </c>
      <c r="C13" s="11" t="s">
        <v>1364</v>
      </c>
      <c r="D13" s="35" t="s">
        <v>1328</v>
      </c>
      <c r="E13" s="29" t="s">
        <v>1365</v>
      </c>
      <c r="F13" s="11" t="s">
        <v>1366</v>
      </c>
      <c r="G13" s="11" t="s">
        <v>1367</v>
      </c>
    </row>
    <row r="14" spans="1:7" ht="75.75" customHeight="1">
      <c r="A14" s="32" t="s">
        <v>1368</v>
      </c>
      <c r="B14" s="11" t="s">
        <v>1369</v>
      </c>
      <c r="C14" s="11" t="s">
        <v>1370</v>
      </c>
      <c r="D14" s="33" t="s">
        <v>1316</v>
      </c>
      <c r="E14" s="34" t="s">
        <v>1371</v>
      </c>
      <c r="F14" s="11" t="s">
        <v>1372</v>
      </c>
      <c r="G14" s="11" t="s">
        <v>1373</v>
      </c>
    </row>
    <row r="15" spans="1:7" ht="75.75" customHeight="1">
      <c r="A15" s="32" t="s">
        <v>1374</v>
      </c>
      <c r="B15" s="11" t="s">
        <v>1375</v>
      </c>
      <c r="C15" s="11" t="s">
        <v>1376</v>
      </c>
      <c r="D15" s="35" t="s">
        <v>1328</v>
      </c>
      <c r="E15" s="29" t="s">
        <v>1377</v>
      </c>
      <c r="F15" s="11" t="s">
        <v>1378</v>
      </c>
      <c r="G15" s="11" t="s">
        <v>1379</v>
      </c>
    </row>
    <row r="16" spans="1:7" ht="75.75" customHeight="1">
      <c r="A16" s="32" t="s">
        <v>1380</v>
      </c>
      <c r="B16" s="11" t="s">
        <v>1381</v>
      </c>
      <c r="C16" s="11" t="s">
        <v>1382</v>
      </c>
      <c r="D16" s="33" t="s">
        <v>1316</v>
      </c>
      <c r="E16" s="34" t="s">
        <v>1383</v>
      </c>
      <c r="F16" s="11" t="s">
        <v>1384</v>
      </c>
      <c r="G16" s="11" t="s">
        <v>1385</v>
      </c>
    </row>
    <row r="17" spans="1:7" ht="75.75" customHeight="1">
      <c r="A17" s="32" t="s">
        <v>1386</v>
      </c>
      <c r="B17" s="11" t="s">
        <v>64</v>
      </c>
      <c r="C17" s="11" t="s">
        <v>1387</v>
      </c>
      <c r="D17" s="37" t="s">
        <v>1359</v>
      </c>
      <c r="E17" s="34" t="s">
        <v>1388</v>
      </c>
      <c r="F17" s="11" t="s">
        <v>1361</v>
      </c>
      <c r="G17" s="11" t="s">
        <v>1389</v>
      </c>
    </row>
    <row r="18" spans="1:7" ht="75.75" customHeight="1">
      <c r="A18" s="38" t="s">
        <v>1390</v>
      </c>
      <c r="B18" s="11" t="s">
        <v>1391</v>
      </c>
      <c r="C18" s="11" t="s">
        <v>1392</v>
      </c>
      <c r="D18" s="33" t="s">
        <v>1316</v>
      </c>
      <c r="E18" s="34" t="s">
        <v>1393</v>
      </c>
      <c r="F18" s="11" t="s">
        <v>1394</v>
      </c>
      <c r="G18" s="11" t="s">
        <v>1395</v>
      </c>
    </row>
    <row r="19" spans="1:7" ht="75.75" customHeight="1">
      <c r="A19" s="38" t="s">
        <v>1396</v>
      </c>
      <c r="B19" s="11" t="s">
        <v>1397</v>
      </c>
      <c r="C19" s="11" t="s">
        <v>1398</v>
      </c>
      <c r="D19" s="33" t="s">
        <v>1316</v>
      </c>
      <c r="E19" s="34" t="s">
        <v>1399</v>
      </c>
      <c r="F19" s="11" t="s">
        <v>1400</v>
      </c>
      <c r="G19" s="11" t="s">
        <v>1401</v>
      </c>
    </row>
    <row r="20" spans="1:7" ht="75.75" customHeight="1">
      <c r="A20" s="38" t="s">
        <v>1402</v>
      </c>
      <c r="B20" s="11" t="s">
        <v>1403</v>
      </c>
      <c r="C20" s="11" t="s">
        <v>1404</v>
      </c>
      <c r="D20" s="35" t="s">
        <v>1328</v>
      </c>
      <c r="E20" s="29" t="s">
        <v>1405</v>
      </c>
      <c r="F20" s="11" t="s">
        <v>1406</v>
      </c>
      <c r="G20" s="11" t="s">
        <v>1407</v>
      </c>
    </row>
    <row r="21" spans="1:7" ht="75.75" customHeight="1">
      <c r="A21" s="38" t="s">
        <v>1408</v>
      </c>
      <c r="B21" s="11" t="s">
        <v>1409</v>
      </c>
      <c r="C21" s="11" t="s">
        <v>1410</v>
      </c>
      <c r="D21" s="33" t="s">
        <v>1316</v>
      </c>
      <c r="E21" s="29" t="s">
        <v>1411</v>
      </c>
      <c r="F21" s="11" t="s">
        <v>1412</v>
      </c>
      <c r="G21" s="11" t="s">
        <v>1413</v>
      </c>
    </row>
    <row r="22" spans="1:7" ht="75.75" customHeight="1">
      <c r="A22" s="38" t="s">
        <v>1414</v>
      </c>
      <c r="B22" s="11" t="s">
        <v>1415</v>
      </c>
      <c r="C22" s="11" t="s">
        <v>1416</v>
      </c>
      <c r="D22" s="35" t="s">
        <v>1328</v>
      </c>
      <c r="E22" s="29" t="s">
        <v>1417</v>
      </c>
      <c r="F22" s="11" t="s">
        <v>1418</v>
      </c>
      <c r="G22" s="11" t="s">
        <v>1419</v>
      </c>
    </row>
    <row r="23" spans="1:7" ht="75.75" customHeight="1">
      <c r="A23" s="38" t="s">
        <v>1420</v>
      </c>
      <c r="B23" s="11" t="s">
        <v>1421</v>
      </c>
      <c r="C23" s="11" t="s">
        <v>1422</v>
      </c>
      <c r="D23" s="35" t="s">
        <v>1328</v>
      </c>
      <c r="E23" s="29" t="s">
        <v>1423</v>
      </c>
      <c r="F23" s="11" t="s">
        <v>1424</v>
      </c>
      <c r="G23" s="11" t="s">
        <v>1425</v>
      </c>
    </row>
    <row r="24" spans="1:7" ht="75.75" customHeight="1">
      <c r="A24" s="38" t="s">
        <v>1426</v>
      </c>
      <c r="B24" s="11" t="s">
        <v>1427</v>
      </c>
      <c r="C24" s="11" t="s">
        <v>1428</v>
      </c>
      <c r="D24" s="33" t="s">
        <v>1316</v>
      </c>
      <c r="E24" s="34" t="s">
        <v>1383</v>
      </c>
      <c r="F24" s="11" t="s">
        <v>1429</v>
      </c>
      <c r="G24" s="11" t="s">
        <v>1430</v>
      </c>
    </row>
    <row r="25" spans="1:7" ht="75.75" customHeight="1">
      <c r="A25" s="38" t="s">
        <v>1431</v>
      </c>
      <c r="B25" s="11" t="s">
        <v>1432</v>
      </c>
      <c r="C25" s="11" t="s">
        <v>1433</v>
      </c>
      <c r="D25" s="35" t="s">
        <v>1328</v>
      </c>
      <c r="E25" s="29" t="s">
        <v>1434</v>
      </c>
      <c r="F25" s="11" t="s">
        <v>1435</v>
      </c>
      <c r="G25" s="11" t="s">
        <v>1436</v>
      </c>
    </row>
    <row r="26" spans="1:7" ht="75.75" customHeight="1">
      <c r="A26" s="38" t="s">
        <v>1437</v>
      </c>
      <c r="B26" s="11" t="s">
        <v>1438</v>
      </c>
      <c r="C26" s="11" t="s">
        <v>1439</v>
      </c>
      <c r="D26" s="33" t="s">
        <v>1316</v>
      </c>
      <c r="E26" s="29" t="s">
        <v>1411</v>
      </c>
      <c r="F26" s="11" t="s">
        <v>1440</v>
      </c>
      <c r="G26" s="11" t="s">
        <v>1441</v>
      </c>
    </row>
    <row r="27" spans="1:7" ht="75.75" customHeight="1">
      <c r="A27" s="38" t="s">
        <v>1442</v>
      </c>
      <c r="B27" s="11" t="s">
        <v>1443</v>
      </c>
      <c r="C27" s="11" t="s">
        <v>1444</v>
      </c>
      <c r="D27" s="35" t="s">
        <v>1328</v>
      </c>
      <c r="E27" s="36" t="s">
        <v>1445</v>
      </c>
      <c r="F27" s="11" t="s">
        <v>1446</v>
      </c>
      <c r="G27" s="11" t="s">
        <v>1447</v>
      </c>
    </row>
    <row r="28" spans="1:7" ht="75.75" customHeight="1">
      <c r="A28" s="39" t="s">
        <v>1448</v>
      </c>
      <c r="B28" s="11" t="s">
        <v>1449</v>
      </c>
      <c r="C28" s="11" t="s">
        <v>1450</v>
      </c>
      <c r="D28" s="33" t="s">
        <v>1316</v>
      </c>
      <c r="E28" s="34" t="s">
        <v>1451</v>
      </c>
      <c r="F28" s="11" t="s">
        <v>1452</v>
      </c>
      <c r="G28" s="11" t="s">
        <v>1453</v>
      </c>
    </row>
    <row r="29" spans="1:7" ht="75.75" customHeight="1">
      <c r="A29" s="39" t="s">
        <v>1454</v>
      </c>
      <c r="B29" s="11" t="s">
        <v>309</v>
      </c>
      <c r="C29" s="11" t="s">
        <v>1455</v>
      </c>
      <c r="D29" s="33" t="s">
        <v>1316</v>
      </c>
      <c r="E29" s="34" t="s">
        <v>1456</v>
      </c>
      <c r="F29" s="11" t="s">
        <v>1457</v>
      </c>
      <c r="G29" s="11" t="s">
        <v>1458</v>
      </c>
    </row>
    <row r="30" spans="1:7" ht="75.75" customHeight="1">
      <c r="A30" s="39" t="s">
        <v>1459</v>
      </c>
      <c r="B30" s="11" t="s">
        <v>1460</v>
      </c>
      <c r="C30" s="11" t="s">
        <v>1461</v>
      </c>
      <c r="D30" s="33" t="s">
        <v>1316</v>
      </c>
      <c r="E30" s="29" t="s">
        <v>1462</v>
      </c>
      <c r="F30" s="11" t="s">
        <v>1463</v>
      </c>
      <c r="G30" s="11" t="s">
        <v>1464</v>
      </c>
    </row>
    <row r="31" spans="1:7" ht="75.75" customHeight="1">
      <c r="A31" s="39" t="s">
        <v>1465</v>
      </c>
      <c r="B31" s="11" t="s">
        <v>1466</v>
      </c>
      <c r="C31" s="11" t="s">
        <v>1467</v>
      </c>
      <c r="D31" s="33" t="s">
        <v>1316</v>
      </c>
      <c r="E31" s="34" t="s">
        <v>1347</v>
      </c>
      <c r="F31" s="11" t="s">
        <v>1468</v>
      </c>
      <c r="G31" s="11" t="s">
        <v>1469</v>
      </c>
    </row>
    <row r="32" spans="1:7" ht="75.75" customHeight="1">
      <c r="A32" s="39" t="s">
        <v>1470</v>
      </c>
      <c r="B32" s="11" t="s">
        <v>387</v>
      </c>
      <c r="C32" s="11" t="s">
        <v>1471</v>
      </c>
      <c r="D32" s="33" t="s">
        <v>1316</v>
      </c>
      <c r="E32" s="34" t="s">
        <v>1472</v>
      </c>
      <c r="F32" s="11" t="s">
        <v>1473</v>
      </c>
      <c r="G32" s="11" t="s">
        <v>1474</v>
      </c>
    </row>
    <row r="33" spans="1:7" ht="75.75" customHeight="1">
      <c r="A33" s="39" t="s">
        <v>1475</v>
      </c>
      <c r="B33" s="11" t="s">
        <v>1476</v>
      </c>
      <c r="C33" s="11" t="s">
        <v>1477</v>
      </c>
      <c r="D33" s="33" t="s">
        <v>1316</v>
      </c>
      <c r="E33" s="34" t="s">
        <v>1371</v>
      </c>
      <c r="F33" s="11" t="s">
        <v>1478</v>
      </c>
      <c r="G33" s="11" t="s">
        <v>1479</v>
      </c>
    </row>
    <row r="34" spans="1:7" ht="75.75" customHeight="1">
      <c r="A34" s="39" t="s">
        <v>1480</v>
      </c>
      <c r="B34" s="11" t="s">
        <v>1481</v>
      </c>
      <c r="C34" s="11" t="s">
        <v>839</v>
      </c>
      <c r="D34" s="33" t="s">
        <v>1316</v>
      </c>
      <c r="E34" s="29" t="s">
        <v>1482</v>
      </c>
      <c r="F34" s="11" t="s">
        <v>1483</v>
      </c>
      <c r="G34" s="11" t="s">
        <v>1484</v>
      </c>
    </row>
    <row r="35" spans="1:7" ht="75.75" customHeight="1">
      <c r="A35" s="39" t="s">
        <v>1485</v>
      </c>
      <c r="B35" s="11" t="s">
        <v>1486</v>
      </c>
      <c r="C35" s="11" t="s">
        <v>1487</v>
      </c>
      <c r="D35" s="35" t="s">
        <v>1328</v>
      </c>
      <c r="E35" s="36" t="s">
        <v>1488</v>
      </c>
      <c r="F35" s="11" t="s">
        <v>1489</v>
      </c>
      <c r="G35" s="11" t="s">
        <v>1490</v>
      </c>
    </row>
    <row r="36" spans="1:7" ht="75.75" customHeight="1">
      <c r="A36" s="39" t="s">
        <v>1491</v>
      </c>
      <c r="B36" s="11" t="s">
        <v>1492</v>
      </c>
      <c r="C36" s="11" t="s">
        <v>1493</v>
      </c>
      <c r="D36" s="33" t="s">
        <v>1316</v>
      </c>
      <c r="E36" s="34" t="s">
        <v>1371</v>
      </c>
      <c r="F36" s="11" t="s">
        <v>1494</v>
      </c>
      <c r="G36" s="11" t="s">
        <v>1495</v>
      </c>
    </row>
    <row r="37" spans="1:7" ht="75.75" customHeight="1">
      <c r="A37" s="39" t="s">
        <v>1496</v>
      </c>
      <c r="B37" s="11" t="s">
        <v>1497</v>
      </c>
      <c r="C37" s="11" t="s">
        <v>1498</v>
      </c>
      <c r="D37" s="33" t="s">
        <v>1316</v>
      </c>
      <c r="E37" s="29" t="s">
        <v>1499</v>
      </c>
      <c r="F37" s="11" t="s">
        <v>1500</v>
      </c>
      <c r="G37" s="11" t="s">
        <v>1501</v>
      </c>
    </row>
    <row r="38" spans="1:7" ht="75.75" customHeight="1">
      <c r="A38" s="39" t="s">
        <v>1502</v>
      </c>
      <c r="B38" s="11" t="s">
        <v>389</v>
      </c>
      <c r="C38" s="11" t="s">
        <v>1503</v>
      </c>
      <c r="D38" s="35" t="s">
        <v>1328</v>
      </c>
      <c r="E38" s="29" t="s">
        <v>1504</v>
      </c>
      <c r="F38" s="11" t="s">
        <v>1505</v>
      </c>
      <c r="G38" s="11" t="s">
        <v>1506</v>
      </c>
    </row>
    <row r="39" spans="1:7" ht="75.75" customHeight="1">
      <c r="A39" s="39" t="s">
        <v>1507</v>
      </c>
      <c r="B39" s="11" t="s">
        <v>1508</v>
      </c>
      <c r="C39" s="11" t="s">
        <v>1509</v>
      </c>
      <c r="D39" s="37" t="s">
        <v>1359</v>
      </c>
      <c r="E39" s="34" t="s">
        <v>1388</v>
      </c>
      <c r="F39" s="11" t="s">
        <v>1361</v>
      </c>
      <c r="G39" s="11" t="s">
        <v>1510</v>
      </c>
    </row>
    <row r="41" spans="1:7" ht="15" customHeight="1">
      <c r="A41" s="4" t="s">
        <v>1511</v>
      </c>
    </row>
    <row r="42" spans="1:7" ht="68.25" customHeight="1">
      <c r="A42" s="3" t="s">
        <v>1512</v>
      </c>
    </row>
    <row r="43" spans="1:7" ht="34.5" customHeight="1">
      <c r="A43" s="3" t="s">
        <v>1513</v>
      </c>
    </row>
    <row r="44" spans="1:7" ht="15" customHeight="1">
      <c r="A44" s="3"/>
    </row>
    <row r="45" spans="1:7" ht="26.25" customHeight="1">
      <c r="A45" s="4" t="s">
        <v>1514</v>
      </c>
    </row>
    <row r="46" spans="1:7" ht="90.75" customHeight="1">
      <c r="A46" s="3" t="s">
        <v>1515</v>
      </c>
    </row>
    <row r="47" spans="1:7" ht="57" customHeight="1">
      <c r="A47" s="3" t="s">
        <v>1516</v>
      </c>
    </row>
    <row r="48" spans="1:7" ht="57" customHeight="1">
      <c r="A48" s="3" t="s">
        <v>1517</v>
      </c>
    </row>
    <row r="49" spans="1:1" ht="57" customHeight="1">
      <c r="A49" s="3" t="s">
        <v>1518</v>
      </c>
    </row>
    <row r="50" spans="1:1" ht="15" customHeight="1">
      <c r="A50" s="3"/>
    </row>
    <row r="51" spans="1:1" ht="15" customHeight="1">
      <c r="A51" s="4" t="s">
        <v>1519</v>
      </c>
    </row>
    <row r="52" spans="1:1" ht="45.75" customHeight="1">
      <c r="A52" s="3" t="s">
        <v>1520</v>
      </c>
    </row>
    <row r="53" spans="1:1" ht="34.5" customHeight="1">
      <c r="A53" s="3" t="s">
        <v>1521</v>
      </c>
    </row>
    <row r="54" spans="1:1" ht="34.5" customHeight="1">
      <c r="A54" s="3" t="s">
        <v>1522</v>
      </c>
    </row>
  </sheetData>
  <autoFilter ref="A4:G39" xr:uid="{00000000-0009-0000-0000-000005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5"/>
  <sheetViews>
    <sheetView showGridLines="0" zoomScaleNormal="100" workbookViewId="0">
      <pane ySplit="4" topLeftCell="A5" activePane="bottomLeft" state="frozen"/>
      <selection pane="bottomLeft"/>
    </sheetView>
  </sheetViews>
  <sheetFormatPr defaultColWidth="8.7109375" defaultRowHeight="15"/>
  <cols>
    <col min="1" max="1" width="24" customWidth="1"/>
    <col min="2" max="2" width="50" customWidth="1"/>
    <col min="3" max="3" width="58" customWidth="1"/>
    <col min="4" max="4" width="36" customWidth="1"/>
    <col min="5" max="5" width="22" customWidth="1"/>
    <col min="6" max="6" width="20" customWidth="1"/>
  </cols>
  <sheetData>
    <row r="1" spans="1:6" ht="18" customHeight="1">
      <c r="A1" s="6" t="s">
        <v>1523</v>
      </c>
    </row>
    <row r="2" spans="1:6" ht="15" customHeight="1">
      <c r="A2" s="7" t="s">
        <v>1524</v>
      </c>
    </row>
    <row r="4" spans="1:6" ht="31.5" customHeight="1">
      <c r="A4" s="8" t="s">
        <v>1525</v>
      </c>
      <c r="B4" s="8" t="s">
        <v>1526</v>
      </c>
      <c r="C4" s="8" t="s">
        <v>1527</v>
      </c>
      <c r="D4" s="8" t="s">
        <v>1528</v>
      </c>
      <c r="E4" s="8" t="s">
        <v>1529</v>
      </c>
      <c r="F4" s="8" t="s">
        <v>1530</v>
      </c>
    </row>
    <row r="5" spans="1:6" ht="61.5" customHeight="1">
      <c r="A5" s="24" t="s">
        <v>1531</v>
      </c>
      <c r="B5" s="40" t="s">
        <v>1532</v>
      </c>
      <c r="C5" s="11" t="s">
        <v>1533</v>
      </c>
      <c r="D5" s="11" t="s">
        <v>1534</v>
      </c>
      <c r="E5" s="41" t="s">
        <v>1535</v>
      </c>
      <c r="F5" s="42" t="s">
        <v>1536</v>
      </c>
    </row>
    <row r="6" spans="1:6" ht="61.5" customHeight="1">
      <c r="A6" s="24" t="s">
        <v>1404</v>
      </c>
      <c r="B6" s="40" t="s">
        <v>1537</v>
      </c>
      <c r="C6" s="11" t="s">
        <v>1538</v>
      </c>
      <c r="D6" s="11" t="s">
        <v>1539</v>
      </c>
      <c r="E6" s="41" t="s">
        <v>1540</v>
      </c>
      <c r="F6" s="42" t="s">
        <v>1541</v>
      </c>
    </row>
    <row r="7" spans="1:6" ht="61.5" customHeight="1">
      <c r="A7" s="24" t="s">
        <v>1477</v>
      </c>
      <c r="B7" s="40" t="s">
        <v>1542</v>
      </c>
      <c r="C7" s="11" t="s">
        <v>1543</v>
      </c>
      <c r="D7" s="11" t="s">
        <v>1544</v>
      </c>
      <c r="E7" s="41" t="s">
        <v>1545</v>
      </c>
      <c r="F7" s="42" t="s">
        <v>1546</v>
      </c>
    </row>
    <row r="8" spans="1:6" ht="61.5" customHeight="1">
      <c r="A8" s="24" t="s">
        <v>1450</v>
      </c>
      <c r="B8" s="40" t="s">
        <v>1547</v>
      </c>
      <c r="C8" s="11" t="s">
        <v>1548</v>
      </c>
      <c r="D8" s="11" t="s">
        <v>1549</v>
      </c>
      <c r="E8" s="41" t="s">
        <v>1550</v>
      </c>
      <c r="F8" s="42" t="s">
        <v>1551</v>
      </c>
    </row>
    <row r="9" spans="1:6" ht="61.5" customHeight="1">
      <c r="A9" s="24" t="s">
        <v>1493</v>
      </c>
      <c r="B9" s="40" t="s">
        <v>1552</v>
      </c>
      <c r="C9" s="11" t="s">
        <v>1553</v>
      </c>
      <c r="D9" s="11" t="s">
        <v>1554</v>
      </c>
      <c r="E9" s="41" t="s">
        <v>1316</v>
      </c>
      <c r="F9" s="42" t="s">
        <v>1555</v>
      </c>
    </row>
    <row r="10" spans="1:6" ht="61.5" customHeight="1">
      <c r="A10" s="24" t="s">
        <v>1556</v>
      </c>
      <c r="B10" s="40" t="s">
        <v>1557</v>
      </c>
      <c r="C10" s="11" t="s">
        <v>1558</v>
      </c>
      <c r="D10" s="11" t="s">
        <v>1559</v>
      </c>
      <c r="E10" s="43" t="s">
        <v>1560</v>
      </c>
      <c r="F10" s="42" t="s">
        <v>1561</v>
      </c>
    </row>
    <row r="11" spans="1:6" ht="61.5" customHeight="1">
      <c r="A11" s="24" t="s">
        <v>1346</v>
      </c>
      <c r="B11" s="40" t="s">
        <v>1562</v>
      </c>
      <c r="C11" s="11" t="s">
        <v>1563</v>
      </c>
      <c r="D11" s="11" t="s">
        <v>1564</v>
      </c>
      <c r="E11" s="43" t="s">
        <v>1565</v>
      </c>
      <c r="F11" s="42" t="s">
        <v>1566</v>
      </c>
    </row>
    <row r="12" spans="1:6" ht="61.5" customHeight="1">
      <c r="A12" s="24" t="s">
        <v>1392</v>
      </c>
      <c r="B12" s="40" t="s">
        <v>1567</v>
      </c>
      <c r="C12" s="11" t="s">
        <v>1568</v>
      </c>
      <c r="D12" s="11" t="s">
        <v>1569</v>
      </c>
      <c r="E12" s="43" t="s">
        <v>1570</v>
      </c>
      <c r="F12" s="42" t="s">
        <v>1566</v>
      </c>
    </row>
    <row r="13" spans="1:6" ht="61.5" customHeight="1">
      <c r="A13" s="24" t="s">
        <v>473</v>
      </c>
      <c r="B13" s="40" t="s">
        <v>1571</v>
      </c>
      <c r="C13" s="11" t="s">
        <v>1572</v>
      </c>
      <c r="D13" s="11" t="s">
        <v>1573</v>
      </c>
      <c r="E13" s="41" t="s">
        <v>1535</v>
      </c>
      <c r="F13" s="42" t="s">
        <v>1566</v>
      </c>
    </row>
    <row r="14" spans="1:6" ht="61.5" customHeight="1">
      <c r="A14" s="24" t="s">
        <v>1574</v>
      </c>
      <c r="B14" s="40" t="s">
        <v>1575</v>
      </c>
      <c r="C14" s="11" t="s">
        <v>1576</v>
      </c>
      <c r="D14" s="11" t="s">
        <v>1577</v>
      </c>
      <c r="E14" s="41" t="s">
        <v>1316</v>
      </c>
      <c r="F14" s="42" t="s">
        <v>1566</v>
      </c>
    </row>
    <row r="15" spans="1:6" ht="61.5" customHeight="1">
      <c r="A15" s="24" t="s">
        <v>1578</v>
      </c>
      <c r="B15" s="40" t="s">
        <v>1579</v>
      </c>
      <c r="C15" s="11" t="s">
        <v>1580</v>
      </c>
      <c r="D15" s="11" t="s">
        <v>1581</v>
      </c>
      <c r="E15" s="43" t="s">
        <v>1582</v>
      </c>
      <c r="F15" s="42" t="s">
        <v>1583</v>
      </c>
    </row>
    <row r="17" spans="1:1" ht="26.25" customHeight="1">
      <c r="A17" s="4" t="s">
        <v>1584</v>
      </c>
    </row>
    <row r="18" spans="1:1" ht="135.75" customHeight="1">
      <c r="A18" s="3" t="s">
        <v>1585</v>
      </c>
    </row>
    <row r="19" spans="1:1" ht="180" customHeight="1">
      <c r="A19" s="3" t="s">
        <v>1586</v>
      </c>
    </row>
    <row r="20" spans="1:1" ht="15" customHeight="1">
      <c r="A20" s="3"/>
    </row>
    <row r="21" spans="1:1" ht="39" customHeight="1">
      <c r="A21" s="4" t="s">
        <v>1587</v>
      </c>
    </row>
    <row r="22" spans="1:1" ht="180" customHeight="1">
      <c r="A22" s="3" t="s">
        <v>1588</v>
      </c>
    </row>
    <row r="23" spans="1:1" ht="15" customHeight="1">
      <c r="A23" s="3"/>
    </row>
    <row r="24" spans="1:1" ht="51.75" customHeight="1">
      <c r="A24" s="4" t="s">
        <v>1589</v>
      </c>
    </row>
    <row r="25" spans="1:1" ht="180" customHeight="1">
      <c r="A25" s="3" t="s">
        <v>1590</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6"/>
  <sheetViews>
    <sheetView showGridLines="0" zoomScaleNormal="100" workbookViewId="0">
      <pane ySplit="4" topLeftCell="A5" activePane="bottomLeft" state="frozen"/>
      <selection pane="bottomLeft"/>
    </sheetView>
  </sheetViews>
  <sheetFormatPr defaultColWidth="8.7109375" defaultRowHeight="15"/>
  <cols>
    <col min="1" max="1" width="8" customWidth="1"/>
    <col min="2" max="2" width="26" customWidth="1"/>
    <col min="3" max="6" width="42" customWidth="1"/>
    <col min="7" max="8" width="44" customWidth="1"/>
    <col min="9" max="9" width="26" customWidth="1"/>
  </cols>
  <sheetData>
    <row r="1" spans="1:9" ht="18" customHeight="1">
      <c r="A1" s="6" t="s">
        <v>1591</v>
      </c>
    </row>
    <row r="2" spans="1:9" ht="15" customHeight="1">
      <c r="A2" s="7" t="s">
        <v>1592</v>
      </c>
    </row>
    <row r="4" spans="1:9" ht="36" customHeight="1">
      <c r="A4" s="8" t="s">
        <v>1593</v>
      </c>
      <c r="B4" s="8" t="s">
        <v>1594</v>
      </c>
      <c r="C4" s="8" t="s">
        <v>1595</v>
      </c>
      <c r="D4" s="8" t="s">
        <v>1596</v>
      </c>
      <c r="E4" s="8" t="s">
        <v>1597</v>
      </c>
      <c r="F4" s="8" t="s">
        <v>1598</v>
      </c>
      <c r="G4" s="8" t="s">
        <v>1599</v>
      </c>
      <c r="H4" s="8" t="s">
        <v>1600</v>
      </c>
      <c r="I4" s="8" t="s">
        <v>1601</v>
      </c>
    </row>
    <row r="5" spans="1:9" ht="85.5" customHeight="1">
      <c r="A5" s="44" t="s">
        <v>1602</v>
      </c>
      <c r="B5" s="45" t="s">
        <v>1603</v>
      </c>
      <c r="C5" s="46" t="s">
        <v>1604</v>
      </c>
      <c r="D5" s="11" t="s">
        <v>1605</v>
      </c>
      <c r="E5" s="47" t="s">
        <v>1606</v>
      </c>
      <c r="F5" s="47" t="s">
        <v>1607</v>
      </c>
      <c r="G5" s="47" t="s">
        <v>1608</v>
      </c>
      <c r="H5" s="48" t="s">
        <v>1609</v>
      </c>
      <c r="I5" s="49" t="s">
        <v>1610</v>
      </c>
    </row>
    <row r="6" spans="1:9" ht="85.5" customHeight="1">
      <c r="A6" s="44" t="s">
        <v>1611</v>
      </c>
      <c r="B6" s="45" t="s">
        <v>1612</v>
      </c>
      <c r="C6" s="46" t="s">
        <v>1613</v>
      </c>
      <c r="D6" s="11" t="s">
        <v>1614</v>
      </c>
      <c r="E6" s="47" t="s">
        <v>1615</v>
      </c>
      <c r="F6" s="47" t="s">
        <v>1616</v>
      </c>
      <c r="G6" s="47" t="s">
        <v>1617</v>
      </c>
      <c r="H6" s="47" t="s">
        <v>66</v>
      </c>
      <c r="I6" s="47" t="s">
        <v>1618</v>
      </c>
    </row>
    <row r="7" spans="1:9" ht="85.5" customHeight="1">
      <c r="A7" s="44" t="s">
        <v>1619</v>
      </c>
      <c r="B7" s="45" t="s">
        <v>1620</v>
      </c>
      <c r="C7" s="46" t="s">
        <v>1621</v>
      </c>
      <c r="D7" s="11" t="s">
        <v>1622</v>
      </c>
      <c r="E7" s="47" t="s">
        <v>1623</v>
      </c>
      <c r="F7" s="47" t="s">
        <v>1624</v>
      </c>
      <c r="G7" s="47" t="s">
        <v>1625</v>
      </c>
      <c r="H7" s="48" t="s">
        <v>1626</v>
      </c>
      <c r="I7" s="47" t="s">
        <v>1627</v>
      </c>
    </row>
    <row r="8" spans="1:9" ht="85.5" customHeight="1">
      <c r="A8" s="44" t="s">
        <v>1628</v>
      </c>
      <c r="B8" s="45" t="s">
        <v>1629</v>
      </c>
      <c r="C8" s="46" t="s">
        <v>1630</v>
      </c>
      <c r="D8" s="11" t="s">
        <v>1631</v>
      </c>
      <c r="E8" s="47" t="s">
        <v>1632</v>
      </c>
      <c r="F8" s="47" t="s">
        <v>1633</v>
      </c>
      <c r="G8" s="47" t="s">
        <v>1634</v>
      </c>
      <c r="H8" s="48" t="s">
        <v>1635</v>
      </c>
      <c r="I8" s="47" t="s">
        <v>1636</v>
      </c>
    </row>
    <row r="9" spans="1:9" ht="85.5" customHeight="1">
      <c r="A9" s="44" t="s">
        <v>1637</v>
      </c>
      <c r="B9" s="45" t="s">
        <v>1638</v>
      </c>
      <c r="C9" s="46" t="s">
        <v>1639</v>
      </c>
      <c r="D9" s="11" t="s">
        <v>1640</v>
      </c>
      <c r="E9" s="47" t="s">
        <v>1641</v>
      </c>
      <c r="F9" s="47" t="s">
        <v>1642</v>
      </c>
      <c r="G9" s="47" t="s">
        <v>1643</v>
      </c>
      <c r="H9" s="48" t="s">
        <v>1644</v>
      </c>
      <c r="I9" s="47" t="s">
        <v>1645</v>
      </c>
    </row>
    <row r="10" spans="1:9" ht="85.5" customHeight="1">
      <c r="A10" s="44" t="s">
        <v>1646</v>
      </c>
      <c r="B10" s="45" t="s">
        <v>1647</v>
      </c>
      <c r="C10" s="46" t="s">
        <v>1648</v>
      </c>
      <c r="D10" s="11" t="s">
        <v>1649</v>
      </c>
      <c r="E10" s="47" t="s">
        <v>1650</v>
      </c>
      <c r="F10" s="47" t="s">
        <v>1651</v>
      </c>
      <c r="G10" s="47" t="s">
        <v>1652</v>
      </c>
      <c r="H10" s="48" t="s">
        <v>1653</v>
      </c>
      <c r="I10" s="47" t="s">
        <v>1654</v>
      </c>
    </row>
    <row r="11" spans="1:9" ht="85.5" customHeight="1">
      <c r="A11" s="44" t="s">
        <v>1655</v>
      </c>
      <c r="B11" s="45" t="s">
        <v>1656</v>
      </c>
      <c r="C11" s="36" t="s">
        <v>1657</v>
      </c>
      <c r="D11" s="11" t="s">
        <v>1658</v>
      </c>
      <c r="E11" s="47" t="s">
        <v>1659</v>
      </c>
      <c r="F11" s="47" t="s">
        <v>1660</v>
      </c>
      <c r="G11" s="47" t="s">
        <v>1661</v>
      </c>
      <c r="H11" s="48" t="s">
        <v>1662</v>
      </c>
      <c r="I11" s="47" t="s">
        <v>1663</v>
      </c>
    </row>
    <row r="12" spans="1:9" ht="85.5" customHeight="1">
      <c r="A12" s="44" t="s">
        <v>1664</v>
      </c>
      <c r="B12" s="45" t="s">
        <v>1665</v>
      </c>
      <c r="C12" s="46" t="s">
        <v>1666</v>
      </c>
      <c r="D12" s="11" t="s">
        <v>1667</v>
      </c>
      <c r="E12" s="47" t="s">
        <v>1668</v>
      </c>
      <c r="F12" s="47" t="s">
        <v>1669</v>
      </c>
      <c r="G12" s="47" t="s">
        <v>1670</v>
      </c>
      <c r="H12" s="47" t="s">
        <v>66</v>
      </c>
      <c r="I12" s="47" t="s">
        <v>1671</v>
      </c>
    </row>
    <row r="13" spans="1:9" ht="85.5" customHeight="1">
      <c r="A13" s="44" t="s">
        <v>1672</v>
      </c>
      <c r="B13" s="45" t="s">
        <v>1673</v>
      </c>
      <c r="C13" s="46" t="s">
        <v>1674</v>
      </c>
      <c r="D13" s="11" t="s">
        <v>1675</v>
      </c>
      <c r="E13" s="47" t="s">
        <v>1676</v>
      </c>
      <c r="F13" s="47" t="s">
        <v>1677</v>
      </c>
      <c r="G13" s="47" t="s">
        <v>1678</v>
      </c>
      <c r="H13" s="47" t="s">
        <v>66</v>
      </c>
      <c r="I13" s="47" t="s">
        <v>1679</v>
      </c>
    </row>
    <row r="14" spans="1:9" ht="85.5" customHeight="1">
      <c r="A14" s="44" t="s">
        <v>1680</v>
      </c>
      <c r="B14" s="45" t="s">
        <v>1681</v>
      </c>
      <c r="C14" s="46" t="s">
        <v>1682</v>
      </c>
      <c r="D14" s="11" t="s">
        <v>1683</v>
      </c>
      <c r="E14" s="47" t="s">
        <v>1684</v>
      </c>
      <c r="F14" s="47" t="s">
        <v>1685</v>
      </c>
      <c r="G14" s="47" t="s">
        <v>1686</v>
      </c>
      <c r="H14" s="48" t="s">
        <v>1687</v>
      </c>
      <c r="I14" s="49" t="s">
        <v>1688</v>
      </c>
    </row>
    <row r="16" spans="1:9" ht="303" customHeight="1">
      <c r="A16" s="2" t="s">
        <v>1689</v>
      </c>
    </row>
  </sheetData>
  <autoFilter ref="A4:I14" xr:uid="{00000000-0009-0000-0000-000007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0"/>
  <sheetViews>
    <sheetView showGridLines="0" zoomScaleNormal="100" workbookViewId="0">
      <pane ySplit="4" topLeftCell="A5" activePane="bottomLeft" state="frozen"/>
      <selection pane="bottomLeft"/>
    </sheetView>
  </sheetViews>
  <sheetFormatPr defaultColWidth="8.7109375" defaultRowHeight="15"/>
  <cols>
    <col min="1" max="1" width="8" customWidth="1"/>
    <col min="2" max="2" width="26" customWidth="1"/>
    <col min="3" max="6" width="42" customWidth="1"/>
    <col min="7" max="8" width="44" customWidth="1"/>
    <col min="9" max="9" width="26" customWidth="1"/>
  </cols>
  <sheetData>
    <row r="1" spans="1:9" ht="18" customHeight="1">
      <c r="A1" s="6" t="s">
        <v>1690</v>
      </c>
    </row>
    <row r="2" spans="1:9" ht="15" customHeight="1">
      <c r="A2" s="7" t="s">
        <v>1691</v>
      </c>
    </row>
    <row r="4" spans="1:9" ht="36" customHeight="1">
      <c r="A4" s="8" t="s">
        <v>1593</v>
      </c>
      <c r="B4" s="8" t="s">
        <v>1594</v>
      </c>
      <c r="C4" s="8" t="s">
        <v>1595</v>
      </c>
      <c r="D4" s="8" t="s">
        <v>1596</v>
      </c>
      <c r="E4" s="8" t="s">
        <v>1597</v>
      </c>
      <c r="F4" s="8" t="s">
        <v>1598</v>
      </c>
      <c r="G4" s="8" t="s">
        <v>1599</v>
      </c>
      <c r="H4" s="8" t="s">
        <v>1600</v>
      </c>
      <c r="I4" s="8" t="s">
        <v>1601</v>
      </c>
    </row>
    <row r="5" spans="1:9" ht="85.5" customHeight="1">
      <c r="A5" s="44" t="s">
        <v>1692</v>
      </c>
      <c r="B5" s="50" t="s">
        <v>1693</v>
      </c>
      <c r="C5" s="46" t="s">
        <v>1694</v>
      </c>
      <c r="D5" s="11" t="s">
        <v>1695</v>
      </c>
      <c r="E5" s="47" t="s">
        <v>1696</v>
      </c>
      <c r="F5" s="47" t="s">
        <v>1697</v>
      </c>
      <c r="G5" s="47" t="s">
        <v>1698</v>
      </c>
      <c r="H5" s="48" t="s">
        <v>1699</v>
      </c>
      <c r="I5" s="49" t="s">
        <v>1610</v>
      </c>
    </row>
    <row r="6" spans="1:9" ht="85.5" customHeight="1">
      <c r="A6" s="44" t="s">
        <v>1700</v>
      </c>
      <c r="B6" s="50" t="s">
        <v>1701</v>
      </c>
      <c r="C6" s="46" t="s">
        <v>1702</v>
      </c>
      <c r="D6" s="11" t="s">
        <v>1703</v>
      </c>
      <c r="E6" s="47" t="s">
        <v>1704</v>
      </c>
      <c r="F6" s="47" t="s">
        <v>1705</v>
      </c>
      <c r="G6" s="47" t="s">
        <v>1706</v>
      </c>
      <c r="H6" s="47" t="s">
        <v>66</v>
      </c>
      <c r="I6" s="47" t="s">
        <v>1618</v>
      </c>
    </row>
    <row r="7" spans="1:9" ht="85.5" customHeight="1">
      <c r="A7" s="44" t="s">
        <v>1707</v>
      </c>
      <c r="B7" s="50" t="s">
        <v>1708</v>
      </c>
      <c r="C7" s="46" t="s">
        <v>1709</v>
      </c>
      <c r="D7" s="11" t="s">
        <v>1710</v>
      </c>
      <c r="E7" s="47" t="s">
        <v>1711</v>
      </c>
      <c r="F7" s="47" t="s">
        <v>1712</v>
      </c>
      <c r="G7" s="47" t="s">
        <v>1713</v>
      </c>
      <c r="H7" s="48" t="s">
        <v>1714</v>
      </c>
      <c r="I7" s="47" t="s">
        <v>1715</v>
      </c>
    </row>
    <row r="8" spans="1:9" ht="85.5" customHeight="1">
      <c r="A8" s="44" t="s">
        <v>1716</v>
      </c>
      <c r="B8" s="50" t="s">
        <v>1717</v>
      </c>
      <c r="C8" s="46" t="s">
        <v>1718</v>
      </c>
      <c r="D8" s="11" t="s">
        <v>1719</v>
      </c>
      <c r="E8" s="47" t="s">
        <v>1720</v>
      </c>
      <c r="F8" s="47" t="s">
        <v>1721</v>
      </c>
      <c r="G8" s="47" t="s">
        <v>1722</v>
      </c>
      <c r="H8" s="47" t="s">
        <v>66</v>
      </c>
      <c r="I8" s="47" t="s">
        <v>1618</v>
      </c>
    </row>
    <row r="9" spans="1:9" ht="85.5" customHeight="1">
      <c r="A9" s="44" t="s">
        <v>1723</v>
      </c>
      <c r="B9" s="50" t="s">
        <v>1724</v>
      </c>
      <c r="C9" s="46" t="s">
        <v>1725</v>
      </c>
      <c r="D9" s="11" t="s">
        <v>1726</v>
      </c>
      <c r="E9" s="47" t="s">
        <v>1727</v>
      </c>
      <c r="F9" s="47" t="s">
        <v>1728</v>
      </c>
      <c r="G9" s="47" t="s">
        <v>1729</v>
      </c>
      <c r="H9" s="48" t="s">
        <v>1730</v>
      </c>
      <c r="I9" s="47" t="s">
        <v>1731</v>
      </c>
    </row>
    <row r="10" spans="1:9" ht="85.5" customHeight="1">
      <c r="A10" s="44" t="s">
        <v>1732</v>
      </c>
      <c r="B10" s="50" t="s">
        <v>1733</v>
      </c>
      <c r="C10" s="46" t="s">
        <v>1734</v>
      </c>
      <c r="D10" s="11" t="s">
        <v>1735</v>
      </c>
      <c r="E10" s="47" t="s">
        <v>1736</v>
      </c>
      <c r="F10" s="47" t="s">
        <v>1737</v>
      </c>
      <c r="G10" s="47" t="s">
        <v>1738</v>
      </c>
      <c r="H10" s="48" t="s">
        <v>1739</v>
      </c>
      <c r="I10" s="47" t="s">
        <v>1740</v>
      </c>
    </row>
    <row r="11" spans="1:9" ht="85.5" customHeight="1">
      <c r="A11" s="44" t="s">
        <v>1741</v>
      </c>
      <c r="B11" s="50" t="s">
        <v>1742</v>
      </c>
      <c r="C11" s="46" t="s">
        <v>1743</v>
      </c>
      <c r="D11" s="11" t="s">
        <v>1744</v>
      </c>
      <c r="E11" s="47" t="s">
        <v>1745</v>
      </c>
      <c r="F11" s="47" t="s">
        <v>1746</v>
      </c>
      <c r="G11" s="47" t="s">
        <v>1747</v>
      </c>
      <c r="H11" s="48" t="s">
        <v>1748</v>
      </c>
      <c r="I11" s="47" t="s">
        <v>1749</v>
      </c>
    </row>
    <row r="12" spans="1:9" ht="85.5" customHeight="1">
      <c r="A12" s="44" t="s">
        <v>1750</v>
      </c>
      <c r="B12" s="50" t="s">
        <v>1751</v>
      </c>
      <c r="C12" s="46" t="s">
        <v>1752</v>
      </c>
      <c r="D12" s="11" t="s">
        <v>1753</v>
      </c>
      <c r="E12" s="47" t="s">
        <v>1754</v>
      </c>
      <c r="F12" s="47" t="s">
        <v>1755</v>
      </c>
      <c r="G12" s="47" t="s">
        <v>1756</v>
      </c>
      <c r="H12" s="47" t="s">
        <v>66</v>
      </c>
      <c r="I12" s="47" t="s">
        <v>1757</v>
      </c>
    </row>
    <row r="13" spans="1:9" ht="85.5" customHeight="1">
      <c r="A13" s="44" t="s">
        <v>1758</v>
      </c>
      <c r="B13" s="50" t="s">
        <v>1759</v>
      </c>
      <c r="C13" s="46" t="s">
        <v>1760</v>
      </c>
      <c r="D13" s="11" t="s">
        <v>1761</v>
      </c>
      <c r="E13" s="47" t="s">
        <v>1762</v>
      </c>
      <c r="F13" s="47" t="s">
        <v>1763</v>
      </c>
      <c r="G13" s="47" t="s">
        <v>1764</v>
      </c>
      <c r="H13" s="48" t="s">
        <v>1765</v>
      </c>
      <c r="I13" s="47" t="s">
        <v>1766</v>
      </c>
    </row>
    <row r="14" spans="1:9" ht="85.5" customHeight="1">
      <c r="A14" s="44" t="s">
        <v>1767</v>
      </c>
      <c r="B14" s="50" t="s">
        <v>1768</v>
      </c>
      <c r="C14" s="46" t="s">
        <v>1769</v>
      </c>
      <c r="D14" s="11" t="s">
        <v>1770</v>
      </c>
      <c r="E14" s="47" t="s">
        <v>1771</v>
      </c>
      <c r="F14" s="47" t="s">
        <v>1772</v>
      </c>
      <c r="G14" s="47" t="s">
        <v>1773</v>
      </c>
      <c r="H14" s="48" t="s">
        <v>1774</v>
      </c>
      <c r="I14" s="47" t="s">
        <v>1775</v>
      </c>
    </row>
    <row r="15" spans="1:9" ht="85.5" customHeight="1">
      <c r="A15" s="44" t="s">
        <v>1776</v>
      </c>
      <c r="B15" s="50" t="s">
        <v>1777</v>
      </c>
      <c r="C15" s="36" t="s">
        <v>1778</v>
      </c>
      <c r="D15" s="11" t="s">
        <v>1779</v>
      </c>
      <c r="E15" s="47" t="s">
        <v>1780</v>
      </c>
      <c r="F15" s="47" t="s">
        <v>1781</v>
      </c>
      <c r="G15" s="47" t="s">
        <v>1782</v>
      </c>
      <c r="H15" s="48" t="s">
        <v>1783</v>
      </c>
      <c r="I15" s="47" t="s">
        <v>1784</v>
      </c>
    </row>
    <row r="16" spans="1:9" ht="85.5" customHeight="1">
      <c r="A16" s="44" t="s">
        <v>1785</v>
      </c>
      <c r="B16" s="50" t="s">
        <v>1786</v>
      </c>
      <c r="C16" s="46" t="s">
        <v>1630</v>
      </c>
      <c r="D16" s="11" t="s">
        <v>1787</v>
      </c>
      <c r="E16" s="47" t="s">
        <v>1788</v>
      </c>
      <c r="F16" s="47" t="s">
        <v>1789</v>
      </c>
      <c r="G16" s="47" t="s">
        <v>1790</v>
      </c>
      <c r="H16" s="48" t="s">
        <v>1791</v>
      </c>
      <c r="I16" s="47" t="s">
        <v>1792</v>
      </c>
    </row>
    <row r="17" spans="1:9" ht="85.5" customHeight="1">
      <c r="A17" s="44" t="s">
        <v>1793</v>
      </c>
      <c r="B17" s="50" t="s">
        <v>1794</v>
      </c>
      <c r="C17" s="46" t="s">
        <v>1795</v>
      </c>
      <c r="D17" s="11" t="s">
        <v>1796</v>
      </c>
      <c r="E17" s="47" t="s">
        <v>1797</v>
      </c>
      <c r="F17" s="47" t="s">
        <v>1798</v>
      </c>
      <c r="G17" s="47" t="s">
        <v>1799</v>
      </c>
      <c r="H17" s="47" t="s">
        <v>66</v>
      </c>
      <c r="I17" s="47" t="s">
        <v>1800</v>
      </c>
    </row>
    <row r="18" spans="1:9" ht="85.5" customHeight="1">
      <c r="A18" s="44" t="s">
        <v>1801</v>
      </c>
      <c r="B18" s="50" t="s">
        <v>1681</v>
      </c>
      <c r="C18" s="46" t="s">
        <v>1682</v>
      </c>
      <c r="D18" s="11" t="s">
        <v>1802</v>
      </c>
      <c r="E18" s="47" t="s">
        <v>1803</v>
      </c>
      <c r="F18" s="47" t="s">
        <v>1685</v>
      </c>
      <c r="G18" s="47" t="s">
        <v>1804</v>
      </c>
      <c r="H18" s="48" t="s">
        <v>1805</v>
      </c>
      <c r="I18" s="49" t="s">
        <v>1806</v>
      </c>
    </row>
    <row r="20" spans="1:9" ht="281.25" customHeight="1">
      <c r="A20" s="2" t="s">
        <v>1807</v>
      </c>
    </row>
  </sheetData>
  <autoFilter ref="A4:I18" xr:uid="{00000000-0009-0000-0000-000008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9"/>
  <sheetViews>
    <sheetView showGridLines="0" zoomScaleNormal="100" workbookViewId="0">
      <pane ySplit="4" topLeftCell="A5" activePane="bottomLeft" state="frozen"/>
      <selection pane="bottomLeft"/>
    </sheetView>
  </sheetViews>
  <sheetFormatPr defaultColWidth="8.7109375" defaultRowHeight="15"/>
  <cols>
    <col min="1" max="1" width="8" customWidth="1"/>
    <col min="2" max="2" width="26" customWidth="1"/>
    <col min="3" max="6" width="42" customWidth="1"/>
    <col min="7" max="8" width="44" customWidth="1"/>
    <col min="9" max="9" width="26" customWidth="1"/>
  </cols>
  <sheetData>
    <row r="1" spans="1:9" ht="18" customHeight="1">
      <c r="A1" s="6" t="s">
        <v>1808</v>
      </c>
    </row>
    <row r="2" spans="1:9" ht="15" customHeight="1">
      <c r="A2" s="7" t="s">
        <v>1809</v>
      </c>
    </row>
    <row r="4" spans="1:9" ht="36" customHeight="1">
      <c r="A4" s="8" t="s">
        <v>1593</v>
      </c>
      <c r="B4" s="8" t="s">
        <v>1594</v>
      </c>
      <c r="C4" s="8" t="s">
        <v>1595</v>
      </c>
      <c r="D4" s="8" t="s">
        <v>1596</v>
      </c>
      <c r="E4" s="8" t="s">
        <v>1597</v>
      </c>
      <c r="F4" s="8" t="s">
        <v>1598</v>
      </c>
      <c r="G4" s="8" t="s">
        <v>1599</v>
      </c>
      <c r="H4" s="8" t="s">
        <v>1600</v>
      </c>
      <c r="I4" s="8" t="s">
        <v>1601</v>
      </c>
    </row>
    <row r="5" spans="1:9" ht="85.5" customHeight="1">
      <c r="A5" s="44" t="s">
        <v>1810</v>
      </c>
      <c r="B5" s="51" t="s">
        <v>1811</v>
      </c>
      <c r="C5" s="46" t="s">
        <v>1812</v>
      </c>
      <c r="D5" s="11" t="s">
        <v>1813</v>
      </c>
      <c r="E5" s="47" t="s">
        <v>1814</v>
      </c>
      <c r="F5" s="47" t="s">
        <v>1815</v>
      </c>
      <c r="G5" s="47" t="s">
        <v>1816</v>
      </c>
      <c r="H5" s="48" t="s">
        <v>1817</v>
      </c>
      <c r="I5" s="49" t="s">
        <v>1610</v>
      </c>
    </row>
    <row r="6" spans="1:9" ht="85.5" customHeight="1">
      <c r="A6" s="44" t="s">
        <v>1818</v>
      </c>
      <c r="B6" s="51" t="s">
        <v>1819</v>
      </c>
      <c r="C6" s="46" t="s">
        <v>1820</v>
      </c>
      <c r="D6" s="11" t="s">
        <v>1821</v>
      </c>
      <c r="E6" s="47" t="s">
        <v>1822</v>
      </c>
      <c r="F6" s="47" t="s">
        <v>1823</v>
      </c>
      <c r="G6" s="47" t="s">
        <v>1824</v>
      </c>
      <c r="H6" s="48" t="s">
        <v>1825</v>
      </c>
      <c r="I6" s="47" t="s">
        <v>1826</v>
      </c>
    </row>
    <row r="7" spans="1:9" ht="85.5" customHeight="1">
      <c r="A7" s="44" t="s">
        <v>1827</v>
      </c>
      <c r="B7" s="51" t="s">
        <v>1828</v>
      </c>
      <c r="C7" s="46" t="s">
        <v>1829</v>
      </c>
      <c r="D7" s="11" t="s">
        <v>1830</v>
      </c>
      <c r="E7" s="47" t="s">
        <v>1831</v>
      </c>
      <c r="F7" s="47" t="s">
        <v>1832</v>
      </c>
      <c r="G7" s="47" t="s">
        <v>1833</v>
      </c>
      <c r="H7" s="48" t="s">
        <v>1834</v>
      </c>
      <c r="I7" s="47" t="s">
        <v>1618</v>
      </c>
    </row>
    <row r="8" spans="1:9" ht="85.5" customHeight="1">
      <c r="A8" s="44" t="s">
        <v>1835</v>
      </c>
      <c r="B8" s="51" t="s">
        <v>1836</v>
      </c>
      <c r="C8" s="36" t="s">
        <v>1837</v>
      </c>
      <c r="D8" s="11" t="s">
        <v>1838</v>
      </c>
      <c r="E8" s="47" t="s">
        <v>1839</v>
      </c>
      <c r="F8" s="47" t="s">
        <v>1840</v>
      </c>
      <c r="G8" s="47" t="s">
        <v>1841</v>
      </c>
      <c r="H8" s="48" t="s">
        <v>1842</v>
      </c>
      <c r="I8" s="47" t="s">
        <v>1843</v>
      </c>
    </row>
    <row r="9" spans="1:9" ht="85.5" customHeight="1">
      <c r="A9" s="44" t="s">
        <v>1844</v>
      </c>
      <c r="B9" s="51" t="s">
        <v>1845</v>
      </c>
      <c r="C9" s="46" t="s">
        <v>1846</v>
      </c>
      <c r="D9" s="11" t="s">
        <v>1847</v>
      </c>
      <c r="E9" s="47" t="s">
        <v>1848</v>
      </c>
      <c r="F9" s="47" t="s">
        <v>1849</v>
      </c>
      <c r="G9" s="47" t="s">
        <v>1850</v>
      </c>
      <c r="H9" s="47" t="s">
        <v>66</v>
      </c>
      <c r="I9" s="47" t="s">
        <v>1851</v>
      </c>
    </row>
    <row r="10" spans="1:9" ht="85.5" customHeight="1">
      <c r="A10" s="44" t="s">
        <v>1852</v>
      </c>
      <c r="B10" s="51" t="s">
        <v>1853</v>
      </c>
      <c r="C10" s="46" t="s">
        <v>1854</v>
      </c>
      <c r="D10" s="11" t="s">
        <v>1855</v>
      </c>
      <c r="E10" s="47" t="s">
        <v>1856</v>
      </c>
      <c r="F10" s="47" t="s">
        <v>1857</v>
      </c>
      <c r="G10" s="47" t="s">
        <v>1858</v>
      </c>
      <c r="H10" s="48" t="s">
        <v>1859</v>
      </c>
      <c r="I10" s="47" t="s">
        <v>1860</v>
      </c>
    </row>
    <row r="11" spans="1:9" ht="85.5" customHeight="1">
      <c r="A11" s="44" t="s">
        <v>1861</v>
      </c>
      <c r="B11" s="51" t="s">
        <v>1862</v>
      </c>
      <c r="C11" s="46" t="s">
        <v>1863</v>
      </c>
      <c r="D11" s="11" t="s">
        <v>1864</v>
      </c>
      <c r="E11" s="47" t="s">
        <v>1865</v>
      </c>
      <c r="F11" s="47" t="s">
        <v>1866</v>
      </c>
      <c r="G11" s="47" t="s">
        <v>1867</v>
      </c>
      <c r="H11" s="48" t="s">
        <v>1868</v>
      </c>
      <c r="I11" s="47" t="s">
        <v>1869</v>
      </c>
    </row>
    <row r="12" spans="1:9" ht="85.5" customHeight="1">
      <c r="A12" s="44" t="s">
        <v>1870</v>
      </c>
      <c r="B12" s="51" t="s">
        <v>1871</v>
      </c>
      <c r="C12" s="46" t="s">
        <v>1872</v>
      </c>
      <c r="D12" s="11" t="s">
        <v>1873</v>
      </c>
      <c r="E12" s="47" t="s">
        <v>1874</v>
      </c>
      <c r="F12" s="47" t="s">
        <v>1875</v>
      </c>
      <c r="G12" s="47" t="s">
        <v>1876</v>
      </c>
      <c r="H12" s="48" t="s">
        <v>1877</v>
      </c>
      <c r="I12" s="47" t="s">
        <v>1878</v>
      </c>
    </row>
    <row r="13" spans="1:9" ht="85.5" customHeight="1">
      <c r="A13" s="44" t="s">
        <v>1879</v>
      </c>
      <c r="B13" s="51" t="s">
        <v>1880</v>
      </c>
      <c r="C13" s="46" t="s">
        <v>1881</v>
      </c>
      <c r="D13" s="11" t="s">
        <v>1882</v>
      </c>
      <c r="E13" s="47" t="s">
        <v>1883</v>
      </c>
      <c r="F13" s="47" t="s">
        <v>1884</v>
      </c>
      <c r="G13" s="47" t="s">
        <v>1885</v>
      </c>
      <c r="H13" s="48" t="s">
        <v>1886</v>
      </c>
      <c r="I13" s="47" t="s">
        <v>1887</v>
      </c>
    </row>
    <row r="14" spans="1:9" ht="85.5" customHeight="1">
      <c r="A14" s="44" t="s">
        <v>1888</v>
      </c>
      <c r="B14" s="51" t="s">
        <v>1889</v>
      </c>
      <c r="C14" s="46" t="s">
        <v>1890</v>
      </c>
      <c r="D14" s="11" t="s">
        <v>1891</v>
      </c>
      <c r="E14" s="47" t="s">
        <v>1892</v>
      </c>
      <c r="F14" s="47" t="s">
        <v>1893</v>
      </c>
      <c r="G14" s="47" t="s">
        <v>1894</v>
      </c>
      <c r="H14" s="48" t="s">
        <v>1895</v>
      </c>
      <c r="I14" s="47" t="s">
        <v>1896</v>
      </c>
    </row>
    <row r="15" spans="1:9" ht="85.5" customHeight="1">
      <c r="A15" s="44" t="s">
        <v>1897</v>
      </c>
      <c r="B15" s="51" t="s">
        <v>1898</v>
      </c>
      <c r="C15" s="36" t="s">
        <v>1899</v>
      </c>
      <c r="D15" s="11" t="s">
        <v>1900</v>
      </c>
      <c r="E15" s="47" t="s">
        <v>1901</v>
      </c>
      <c r="F15" s="47" t="s">
        <v>1902</v>
      </c>
      <c r="G15" s="47" t="s">
        <v>1903</v>
      </c>
      <c r="H15" s="48" t="s">
        <v>1904</v>
      </c>
      <c r="I15" s="47" t="s">
        <v>1905</v>
      </c>
    </row>
    <row r="16" spans="1:9" ht="85.5" customHeight="1">
      <c r="A16" s="44" t="s">
        <v>1906</v>
      </c>
      <c r="B16" s="51" t="s">
        <v>1907</v>
      </c>
      <c r="C16" s="46" t="s">
        <v>1908</v>
      </c>
      <c r="D16" s="11" t="s">
        <v>1909</v>
      </c>
      <c r="E16" s="47" t="s">
        <v>1910</v>
      </c>
      <c r="F16" s="47" t="s">
        <v>1911</v>
      </c>
      <c r="G16" s="47" t="s">
        <v>1912</v>
      </c>
      <c r="H16" s="48" t="s">
        <v>1913</v>
      </c>
      <c r="I16" s="47" t="s">
        <v>1914</v>
      </c>
    </row>
    <row r="17" spans="1:9" ht="85.5" customHeight="1">
      <c r="A17" s="44" t="s">
        <v>1915</v>
      </c>
      <c r="B17" s="51" t="s">
        <v>1681</v>
      </c>
      <c r="C17" s="46" t="s">
        <v>1916</v>
      </c>
      <c r="D17" s="11" t="s">
        <v>1917</v>
      </c>
      <c r="E17" s="47" t="s">
        <v>1918</v>
      </c>
      <c r="F17" s="47" t="s">
        <v>1919</v>
      </c>
      <c r="G17" s="47" t="s">
        <v>1920</v>
      </c>
      <c r="H17" s="47" t="s">
        <v>66</v>
      </c>
      <c r="I17" s="49" t="s">
        <v>1806</v>
      </c>
    </row>
    <row r="19" spans="1:9" ht="292.5" customHeight="1">
      <c r="A19" s="2" t="s">
        <v>1921</v>
      </c>
    </row>
  </sheetData>
  <autoFilter ref="A4:I17" xr:uid="{00000000-0009-0000-0000-000009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21"/>
  <sheetViews>
    <sheetView showGridLines="0" zoomScaleNormal="100" workbookViewId="0">
      <pane ySplit="4" topLeftCell="A5" activePane="bottomLeft" state="frozen"/>
      <selection pane="bottomLeft"/>
    </sheetView>
  </sheetViews>
  <sheetFormatPr defaultColWidth="8.7109375" defaultRowHeight="15"/>
  <cols>
    <col min="1" max="1" width="11" customWidth="1"/>
    <col min="2" max="3" width="34" customWidth="1"/>
    <col min="4" max="4" width="44" customWidth="1"/>
    <col min="5" max="5" width="52" customWidth="1"/>
  </cols>
  <sheetData>
    <row r="1" spans="1:5" ht="18" customHeight="1">
      <c r="A1" s="6" t="s">
        <v>1922</v>
      </c>
    </row>
    <row r="2" spans="1:5" ht="15" customHeight="1">
      <c r="A2" s="7" t="s">
        <v>1923</v>
      </c>
    </row>
    <row r="4" spans="1:5" ht="31.5" customHeight="1">
      <c r="A4" s="8" t="s">
        <v>29</v>
      </c>
      <c r="B4" s="8" t="s">
        <v>30</v>
      </c>
      <c r="C4" s="8" t="s">
        <v>1924</v>
      </c>
      <c r="D4" s="8" t="s">
        <v>1925</v>
      </c>
      <c r="E4" s="8" t="s">
        <v>1926</v>
      </c>
    </row>
    <row r="5" spans="1:5" ht="54" customHeight="1">
      <c r="A5" s="52" t="s">
        <v>35</v>
      </c>
      <c r="B5" s="53" t="s">
        <v>36</v>
      </c>
      <c r="C5" s="47" t="s">
        <v>436</v>
      </c>
      <c r="D5" s="47" t="s">
        <v>1927</v>
      </c>
      <c r="E5" s="54" t="s">
        <v>1928</v>
      </c>
    </row>
    <row r="6" spans="1:5" ht="54" customHeight="1">
      <c r="A6" s="52" t="s">
        <v>35</v>
      </c>
      <c r="B6" s="53" t="s">
        <v>59</v>
      </c>
      <c r="C6" s="47" t="s">
        <v>494</v>
      </c>
      <c r="D6" s="47" t="s">
        <v>1929</v>
      </c>
      <c r="E6" s="54" t="s">
        <v>1930</v>
      </c>
    </row>
    <row r="7" spans="1:5" ht="54" customHeight="1">
      <c r="A7" s="52" t="s">
        <v>35</v>
      </c>
      <c r="B7" s="53" t="s">
        <v>82</v>
      </c>
      <c r="C7" s="47" t="s">
        <v>542</v>
      </c>
      <c r="D7" s="47" t="s">
        <v>1931</v>
      </c>
      <c r="E7" s="54" t="s">
        <v>1932</v>
      </c>
    </row>
    <row r="8" spans="1:5" ht="54" customHeight="1">
      <c r="A8" s="52" t="s">
        <v>35</v>
      </c>
      <c r="B8" s="53" t="s">
        <v>1933</v>
      </c>
      <c r="C8" s="47" t="s">
        <v>592</v>
      </c>
      <c r="D8" s="47" t="s">
        <v>1934</v>
      </c>
      <c r="E8" s="54" t="s">
        <v>1935</v>
      </c>
    </row>
    <row r="9" spans="1:5" ht="54" customHeight="1">
      <c r="A9" s="52" t="s">
        <v>35</v>
      </c>
      <c r="B9" s="53" t="s">
        <v>127</v>
      </c>
      <c r="C9" s="47" t="s">
        <v>640</v>
      </c>
      <c r="D9" s="47" t="s">
        <v>1936</v>
      </c>
      <c r="E9" s="54" t="s">
        <v>1937</v>
      </c>
    </row>
    <row r="10" spans="1:5" ht="54" customHeight="1">
      <c r="A10" s="52" t="s">
        <v>35</v>
      </c>
      <c r="B10" s="53" t="s">
        <v>148</v>
      </c>
      <c r="C10" s="47" t="s">
        <v>592</v>
      </c>
      <c r="D10" s="47" t="s">
        <v>1938</v>
      </c>
      <c r="E10" s="54" t="s">
        <v>1939</v>
      </c>
    </row>
    <row r="11" spans="1:5" ht="54" customHeight="1">
      <c r="A11" s="55" t="s">
        <v>170</v>
      </c>
      <c r="B11" s="53" t="s">
        <v>171</v>
      </c>
      <c r="C11" s="47" t="s">
        <v>735</v>
      </c>
      <c r="D11" s="47" t="s">
        <v>1940</v>
      </c>
      <c r="E11" s="54" t="s">
        <v>1941</v>
      </c>
    </row>
    <row r="12" spans="1:5" ht="54" customHeight="1">
      <c r="A12" s="55" t="s">
        <v>170</v>
      </c>
      <c r="B12" s="53" t="s">
        <v>193</v>
      </c>
      <c r="C12" s="47" t="s">
        <v>779</v>
      </c>
      <c r="D12" s="47" t="s">
        <v>1942</v>
      </c>
      <c r="E12" s="54" t="s">
        <v>1943</v>
      </c>
    </row>
    <row r="13" spans="1:5" ht="54" customHeight="1">
      <c r="A13" s="55" t="s">
        <v>170</v>
      </c>
      <c r="B13" s="53" t="s">
        <v>214</v>
      </c>
      <c r="C13" s="47" t="s">
        <v>826</v>
      </c>
      <c r="D13" s="47" t="s">
        <v>1944</v>
      </c>
      <c r="E13" s="54" t="s">
        <v>1945</v>
      </c>
    </row>
    <row r="14" spans="1:5" ht="54" customHeight="1">
      <c r="A14" s="55" t="s">
        <v>170</v>
      </c>
      <c r="B14" s="53" t="s">
        <v>236</v>
      </c>
      <c r="C14" s="47" t="s">
        <v>872</v>
      </c>
      <c r="D14" s="47" t="s">
        <v>1946</v>
      </c>
      <c r="E14" s="54" t="s">
        <v>1947</v>
      </c>
    </row>
    <row r="15" spans="1:5" ht="54" customHeight="1">
      <c r="A15" s="55" t="s">
        <v>170</v>
      </c>
      <c r="B15" s="53" t="s">
        <v>258</v>
      </c>
      <c r="C15" s="47" t="s">
        <v>923</v>
      </c>
      <c r="D15" s="47" t="s">
        <v>1948</v>
      </c>
      <c r="E15" s="54" t="s">
        <v>1949</v>
      </c>
    </row>
    <row r="16" spans="1:5" ht="54" customHeight="1">
      <c r="A16" s="55" t="s">
        <v>170</v>
      </c>
      <c r="B16" s="53" t="s">
        <v>1950</v>
      </c>
      <c r="C16" s="47" t="s">
        <v>976</v>
      </c>
      <c r="D16" s="47" t="s">
        <v>1951</v>
      </c>
      <c r="E16" s="54" t="s">
        <v>1952</v>
      </c>
    </row>
    <row r="17" spans="1:5" ht="54" customHeight="1">
      <c r="A17" s="56" t="s">
        <v>300</v>
      </c>
      <c r="B17" s="53" t="s">
        <v>301</v>
      </c>
      <c r="C17" s="47" t="s">
        <v>1019</v>
      </c>
      <c r="D17" s="47" t="s">
        <v>1953</v>
      </c>
      <c r="E17" s="54" t="s">
        <v>1954</v>
      </c>
    </row>
    <row r="18" spans="1:5" ht="54" customHeight="1">
      <c r="A18" s="56" t="s">
        <v>300</v>
      </c>
      <c r="B18" s="53" t="s">
        <v>322</v>
      </c>
      <c r="C18" s="47" t="s">
        <v>1074</v>
      </c>
      <c r="D18" s="47" t="s">
        <v>1955</v>
      </c>
      <c r="E18" s="54" t="s">
        <v>1956</v>
      </c>
    </row>
    <row r="19" spans="1:5" ht="54" customHeight="1">
      <c r="A19" s="56" t="s">
        <v>300</v>
      </c>
      <c r="B19" s="53" t="s">
        <v>343</v>
      </c>
      <c r="C19" s="47" t="s">
        <v>1074</v>
      </c>
      <c r="D19" s="47" t="s">
        <v>1957</v>
      </c>
      <c r="E19" s="54" t="s">
        <v>1958</v>
      </c>
    </row>
    <row r="20" spans="1:5" ht="54" customHeight="1">
      <c r="A20" s="56" t="s">
        <v>300</v>
      </c>
      <c r="B20" s="53" t="s">
        <v>364</v>
      </c>
      <c r="C20" s="47" t="s">
        <v>1179</v>
      </c>
      <c r="D20" s="47" t="s">
        <v>1959</v>
      </c>
      <c r="E20" s="54" t="s">
        <v>1960</v>
      </c>
    </row>
    <row r="21" spans="1:5" ht="54" customHeight="1">
      <c r="A21" s="56" t="s">
        <v>300</v>
      </c>
      <c r="B21" s="53" t="s">
        <v>385</v>
      </c>
      <c r="C21" s="47" t="s">
        <v>1230</v>
      </c>
      <c r="D21" s="47" t="s">
        <v>1961</v>
      </c>
      <c r="E21" s="54" t="s">
        <v>1962</v>
      </c>
    </row>
  </sheetData>
  <autoFilter ref="A4:E21" xr:uid="{00000000-0009-0000-0000-00000A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
  <sheetViews>
    <sheetView showGridLines="0" zoomScaleNormal="100" workbookViewId="0"/>
  </sheetViews>
  <sheetFormatPr defaultColWidth="8.7109375" defaultRowHeight="15"/>
  <cols>
    <col min="1" max="1" width="8" customWidth="1"/>
    <col min="2" max="2" width="30" customWidth="1"/>
    <col min="3" max="3" width="9" customWidth="1"/>
    <col min="4" max="7" width="10" customWidth="1"/>
    <col min="8" max="8" width="15" customWidth="1"/>
    <col min="9" max="9" width="20" customWidth="1"/>
    <col min="10" max="10" width="14" customWidth="1"/>
  </cols>
  <sheetData>
    <row r="1" spans="1:10" ht="18" customHeight="1">
      <c r="A1" s="6" t="s">
        <v>1963</v>
      </c>
    </row>
    <row r="2" spans="1:10" ht="15" customHeight="1">
      <c r="A2" s="7" t="s">
        <v>1964</v>
      </c>
    </row>
    <row r="3" spans="1:10" ht="15" customHeight="1">
      <c r="A3" s="57" t="s">
        <v>1965</v>
      </c>
      <c r="B3" s="58"/>
    </row>
    <row r="4" spans="1:10" ht="15" customHeight="1">
      <c r="A4" s="57" t="s">
        <v>29</v>
      </c>
      <c r="B4" s="58"/>
    </row>
    <row r="5" spans="1:10" ht="15" customHeight="1">
      <c r="A5" s="57" t="s">
        <v>1966</v>
      </c>
      <c r="B5" s="58"/>
    </row>
    <row r="6" spans="1:10" ht="15" customHeight="1">
      <c r="A6" s="57" t="s">
        <v>1967</v>
      </c>
      <c r="B6" s="58"/>
    </row>
    <row r="7" spans="1:10" ht="15" customHeight="1">
      <c r="A7" s="57" t="s">
        <v>1968</v>
      </c>
      <c r="B7" s="58"/>
    </row>
    <row r="8" spans="1:10" ht="15" customHeight="1">
      <c r="A8" s="57" t="s">
        <v>1969</v>
      </c>
      <c r="B8" s="58" t="s">
        <v>1970</v>
      </c>
    </row>
    <row r="9" spans="1:10" ht="15" customHeight="1">
      <c r="A9" s="57" t="s">
        <v>1971</v>
      </c>
      <c r="B9" s="58"/>
    </row>
    <row r="10" spans="1:10" ht="15" customHeight="1">
      <c r="A10" s="57" t="s">
        <v>1972</v>
      </c>
      <c r="B10" s="58"/>
    </row>
    <row r="12" spans="1:10" ht="31.5" customHeight="1">
      <c r="A12" s="8" t="s">
        <v>1593</v>
      </c>
      <c r="B12" s="8" t="s">
        <v>1594</v>
      </c>
      <c r="C12" s="8" t="s">
        <v>1973</v>
      </c>
      <c r="D12" s="8" t="s">
        <v>1974</v>
      </c>
      <c r="E12" s="8" t="s">
        <v>1975</v>
      </c>
      <c r="F12" s="8" t="s">
        <v>1976</v>
      </c>
      <c r="G12" s="8" t="s">
        <v>1977</v>
      </c>
      <c r="H12" s="8" t="s">
        <v>1978</v>
      </c>
      <c r="I12" s="8" t="s">
        <v>1979</v>
      </c>
      <c r="J12" s="8" t="s">
        <v>1980</v>
      </c>
    </row>
    <row r="13" spans="1:10" ht="25.5" customHeight="1">
      <c r="A13" s="44" t="s">
        <v>1602</v>
      </c>
      <c r="B13" s="54" t="s">
        <v>1981</v>
      </c>
      <c r="C13" s="59">
        <v>2</v>
      </c>
      <c r="D13" s="60"/>
      <c r="E13" s="60"/>
      <c r="F13" s="60"/>
      <c r="G13" s="61" t="str">
        <f>IFERROR(AVERAGE(D13:F13),"")</f>
        <v/>
      </c>
      <c r="H13" s="59">
        <f>IFERROR(MAX(D13:F13)-MIN(D13:F13),"")</f>
        <v>0</v>
      </c>
      <c r="I13" s="47" t="str">
        <f>IF(H13="","",IF(H13&lt;=1,"Yes","REVIEW ANCHORS"))</f>
        <v>Yes</v>
      </c>
      <c r="J13" s="61" t="str">
        <f>IF(G13="","",IF($G$13&lt;=2,MIN(G13,$G$13),G13))</f>
        <v/>
      </c>
    </row>
    <row r="14" spans="1:10" ht="25.5" customHeight="1">
      <c r="A14" s="44" t="s">
        <v>1611</v>
      </c>
      <c r="B14" s="47" t="s">
        <v>1612</v>
      </c>
      <c r="C14" s="59">
        <v>1</v>
      </c>
      <c r="D14" s="60"/>
      <c r="E14" s="60"/>
      <c r="F14" s="60"/>
      <c r="G14" s="61" t="str">
        <f>IFERROR(AVERAGE(D14:F14),"")</f>
        <v/>
      </c>
      <c r="H14" s="59">
        <f>IFERROR(MAX(D14:F14)-MIN(D14:F14),"")</f>
        <v>0</v>
      </c>
      <c r="I14" s="47" t="str">
        <f>IF(H14="","",IF(H14&lt;=1,"Yes","REVIEW ANCHORS"))</f>
        <v>Yes</v>
      </c>
      <c r="J14" s="61" t="str">
        <f>IF(G14="","",IF($G$13&lt;=2,MIN(G14,$G$13),G14))</f>
        <v/>
      </c>
    </row>
    <row r="15" spans="1:10" ht="25.5" customHeight="1">
      <c r="A15" s="44" t="s">
        <v>1619</v>
      </c>
      <c r="B15" s="47" t="s">
        <v>1982</v>
      </c>
      <c r="C15" s="59">
        <v>2</v>
      </c>
      <c r="D15" s="60"/>
      <c r="E15" s="60"/>
      <c r="F15" s="60"/>
      <c r="G15" s="61" t="str">
        <f>IFERROR(AVERAGE(D15:F15),"")</f>
        <v/>
      </c>
      <c r="H15" s="59">
        <f>IFERROR(MAX(D15:F15)-MIN(D15:F15),"")</f>
        <v>0</v>
      </c>
      <c r="I15" s="47" t="str">
        <f>IF(H15="","",IF(H15&lt;=1,"Yes","REVIEW ANCHORS"))</f>
        <v>Yes</v>
      </c>
      <c r="J15" s="61" t="str">
        <f>IF(G15="","",IF($G$13&lt;=2,MIN(G15,$G$13),G15))</f>
        <v/>
      </c>
    </row>
    <row r="16" spans="1:10" ht="25.5" customHeight="1">
      <c r="A16" s="44" t="s">
        <v>1628</v>
      </c>
      <c r="B16" s="47" t="s">
        <v>1629</v>
      </c>
      <c r="C16" s="59">
        <v>1</v>
      </c>
      <c r="D16" s="60"/>
      <c r="E16" s="60"/>
      <c r="F16" s="60"/>
      <c r="G16" s="61" t="str">
        <f>IFERROR(AVERAGE(D16:F16),"")</f>
        <v/>
      </c>
      <c r="H16" s="59">
        <f>IFERROR(MAX(D16:F16)-MIN(D16:F16),"")</f>
        <v>0</v>
      </c>
      <c r="I16" s="47" t="str">
        <f>IF(H16="","",IF(H16&lt;=1,"Yes","REVIEW ANCHORS"))</f>
        <v>Yes</v>
      </c>
      <c r="J16" s="61" t="str">
        <f>IF(G16="","",IF($G$13&lt;=2,MIN(G16,$G$13),G16))</f>
        <v/>
      </c>
    </row>
    <row r="17" spans="1:10" ht="25.5" customHeight="1">
      <c r="A17" s="44" t="s">
        <v>1646</v>
      </c>
      <c r="B17" s="47" t="s">
        <v>1647</v>
      </c>
      <c r="C17" s="59">
        <v>1</v>
      </c>
      <c r="D17" s="60"/>
      <c r="E17" s="60"/>
      <c r="F17" s="60"/>
      <c r="G17" s="61" t="str">
        <f>IFERROR(AVERAGE(D17:F17),"")</f>
        <v/>
      </c>
      <c r="H17" s="59">
        <f>IFERROR(MAX(D17:F17)-MIN(D17:F17),"")</f>
        <v>0</v>
      </c>
      <c r="I17" s="47" t="str">
        <f>IF(H17="","",IF(H17&lt;=1,"Yes","REVIEW ANCHORS"))</f>
        <v>Yes</v>
      </c>
      <c r="J17" s="61" t="str">
        <f>IF(G17="","",IF($G$13&lt;=2,MIN(G17,$G$13),G17))</f>
        <v/>
      </c>
    </row>
    <row r="18" spans="1:10" ht="25.5" customHeight="1">
      <c r="A18" s="44" t="s">
        <v>1672</v>
      </c>
      <c r="B18" s="47" t="s">
        <v>1983</v>
      </c>
      <c r="C18" s="59">
        <v>1</v>
      </c>
      <c r="D18" s="60"/>
      <c r="E18" s="60"/>
      <c r="F18" s="60"/>
      <c r="G18" s="61" t="str">
        <f>IFERROR(AVERAGE(D18:F18),"")</f>
        <v/>
      </c>
      <c r="H18" s="59">
        <f>IFERROR(MAX(D18:F18)-MIN(D18:F18),"")</f>
        <v>0</v>
      </c>
      <c r="I18" s="47" t="str">
        <f>IF(H18="","",IF(H18&lt;=1,"Yes","REVIEW ANCHORS"))</f>
        <v>Yes</v>
      </c>
      <c r="J18" s="61" t="str">
        <f>IF(G18="","",IF($G$13&lt;=2,MIN(G18,$G$13),G18))</f>
        <v/>
      </c>
    </row>
    <row r="19" spans="1:10" ht="25.5" customHeight="1">
      <c r="A19" s="44" t="s">
        <v>1680</v>
      </c>
      <c r="B19" s="54" t="s">
        <v>1984</v>
      </c>
      <c r="C19" s="59">
        <v>1</v>
      </c>
      <c r="D19" s="60"/>
      <c r="E19" s="60"/>
      <c r="F19" s="60"/>
      <c r="G19" s="61" t="str">
        <f>IFERROR(AVERAGE(D19:F19),"")</f>
        <v/>
      </c>
      <c r="H19" s="59">
        <f>IFERROR(MAX(D19:F19)-MIN(D19:F19),"")</f>
        <v>0</v>
      </c>
      <c r="I19" s="47" t="str">
        <f>IF(H19="","",IF(H19&lt;=1,"Yes","REVIEW ANCHORS"))</f>
        <v>Yes</v>
      </c>
      <c r="J19" s="61" t="str">
        <f>IF(G19="","",IF($G$13&lt;=2,MIN(G19,$G$13),G19))</f>
        <v/>
      </c>
    </row>
    <row r="21" spans="1:10" ht="15" customHeight="1">
      <c r="B21" s="62" t="s">
        <v>1985</v>
      </c>
      <c r="J21" s="63">
        <f>IFERROR(SUMPRODUCT(C13:C19,J13:J19)/SUM(C13:C19),"")</f>
        <v>0</v>
      </c>
    </row>
    <row r="22" spans="1:10" ht="15" customHeight="1">
      <c r="B22" s="62" t="s">
        <v>1986</v>
      </c>
      <c r="J22" t="str">
        <f>IF($G$13="","",IF($G$13&lt;=2,"YES — all dimensions capped","No"))</f>
        <v/>
      </c>
    </row>
    <row r="24" spans="1:10" ht="325.5" customHeight="1">
      <c r="A24" s="2" t="s">
        <v>1987</v>
      </c>
    </row>
    <row r="25" spans="1:10" ht="15" customHeight="1">
      <c r="A25" s="7" t="s">
        <v>1988</v>
      </c>
    </row>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6"/>
  <sheetViews>
    <sheetView showGridLines="0" zoomScaleNormal="100" workbookViewId="0"/>
  </sheetViews>
  <sheetFormatPr defaultColWidth="8.7109375" defaultRowHeight="15"/>
  <cols>
    <col min="1" max="1" width="42" customWidth="1"/>
    <col min="2" max="2" width="32" customWidth="1"/>
    <col min="3" max="3" width="74" customWidth="1"/>
    <col min="4" max="4" width="10" customWidth="1"/>
  </cols>
  <sheetData>
    <row r="1" spans="1:4" ht="18" customHeight="1">
      <c r="A1" s="6" t="s">
        <v>1989</v>
      </c>
    </row>
    <row r="2" spans="1:4" ht="15" customHeight="1">
      <c r="A2" s="7" t="s">
        <v>1990</v>
      </c>
    </row>
    <row r="4" spans="1:4" ht="30" customHeight="1">
      <c r="A4" s="8" t="s">
        <v>1991</v>
      </c>
      <c r="B4" s="8" t="s">
        <v>1992</v>
      </c>
      <c r="C4" s="8" t="s">
        <v>1993</v>
      </c>
      <c r="D4" s="8" t="s">
        <v>422</v>
      </c>
    </row>
    <row r="5" spans="1:4" ht="57.75" customHeight="1">
      <c r="A5" s="53" t="s">
        <v>1994</v>
      </c>
      <c r="B5" s="47" t="s">
        <v>1995</v>
      </c>
      <c r="C5" s="47" t="s">
        <v>1996</v>
      </c>
      <c r="D5" s="64" t="s">
        <v>432</v>
      </c>
    </row>
    <row r="6" spans="1:4" ht="57.75" customHeight="1">
      <c r="A6" s="53" t="s">
        <v>1997</v>
      </c>
      <c r="B6" s="47" t="s">
        <v>1998</v>
      </c>
      <c r="C6" s="47" t="s">
        <v>1999</v>
      </c>
      <c r="D6" s="64" t="s">
        <v>432</v>
      </c>
    </row>
    <row r="7" spans="1:4" ht="57.75" customHeight="1">
      <c r="A7" s="53" t="s">
        <v>2000</v>
      </c>
      <c r="B7" s="47" t="s">
        <v>2001</v>
      </c>
      <c r="C7" s="47" t="s">
        <v>2002</v>
      </c>
      <c r="D7" s="64" t="s">
        <v>432</v>
      </c>
    </row>
    <row r="8" spans="1:4" ht="57.75" customHeight="1">
      <c r="A8" s="53" t="s">
        <v>2003</v>
      </c>
      <c r="B8" s="47" t="s">
        <v>2004</v>
      </c>
      <c r="C8" s="47" t="s">
        <v>2005</v>
      </c>
      <c r="D8" s="64" t="s">
        <v>432</v>
      </c>
    </row>
    <row r="9" spans="1:4" ht="57.75" customHeight="1">
      <c r="A9" s="53" t="s">
        <v>2006</v>
      </c>
      <c r="B9" s="47" t="s">
        <v>1410</v>
      </c>
      <c r="C9" s="47" t="s">
        <v>2007</v>
      </c>
      <c r="D9" s="64" t="s">
        <v>432</v>
      </c>
    </row>
    <row r="10" spans="1:4" ht="57.75" customHeight="1">
      <c r="A10" s="53" t="s">
        <v>2008</v>
      </c>
      <c r="B10" s="47" t="s">
        <v>2009</v>
      </c>
      <c r="C10" s="47" t="s">
        <v>2010</v>
      </c>
      <c r="D10" s="64" t="s">
        <v>432</v>
      </c>
    </row>
    <row r="11" spans="1:4" ht="57.75" customHeight="1">
      <c r="A11" s="53" t="s">
        <v>2011</v>
      </c>
      <c r="B11" s="47" t="s">
        <v>2012</v>
      </c>
      <c r="C11" s="47" t="s">
        <v>2013</v>
      </c>
      <c r="D11" s="64" t="s">
        <v>432</v>
      </c>
    </row>
    <row r="12" spans="1:4" ht="57.75" customHeight="1">
      <c r="A12" s="53" t="s">
        <v>2014</v>
      </c>
      <c r="B12" s="47" t="s">
        <v>2015</v>
      </c>
      <c r="C12" s="47" t="s">
        <v>2016</v>
      </c>
      <c r="D12" s="64" t="s">
        <v>432</v>
      </c>
    </row>
    <row r="13" spans="1:4" ht="57.75" customHeight="1">
      <c r="A13" s="53" t="s">
        <v>2017</v>
      </c>
      <c r="B13" s="47" t="s">
        <v>2018</v>
      </c>
      <c r="C13" s="47" t="s">
        <v>2019</v>
      </c>
      <c r="D13" s="64" t="s">
        <v>432</v>
      </c>
    </row>
    <row r="14" spans="1:4" ht="57.75" customHeight="1">
      <c r="A14" s="53" t="s">
        <v>2020</v>
      </c>
      <c r="B14" s="47" t="s">
        <v>2021</v>
      </c>
      <c r="C14" s="47" t="s">
        <v>2022</v>
      </c>
      <c r="D14" s="64" t="s">
        <v>432</v>
      </c>
    </row>
    <row r="15" spans="1:4" ht="57.75" customHeight="1">
      <c r="A15" s="53" t="s">
        <v>2023</v>
      </c>
      <c r="B15" s="47" t="s">
        <v>2024</v>
      </c>
      <c r="C15" s="47" t="s">
        <v>2025</v>
      </c>
      <c r="D15" s="64" t="s">
        <v>432</v>
      </c>
    </row>
    <row r="16" spans="1:4" ht="57.75" customHeight="1">
      <c r="A16" s="53" t="s">
        <v>2026</v>
      </c>
      <c r="B16" s="47" t="s">
        <v>2027</v>
      </c>
      <c r="C16" s="47" t="s">
        <v>2028</v>
      </c>
      <c r="D16" s="64" t="s">
        <v>432</v>
      </c>
    </row>
  </sheetData>
  <hyperlinks>
    <hyperlink ref="D5" r:id="rId1" xr:uid="{00000000-0004-0000-0C00-000000000000}"/>
    <hyperlink ref="D6" r:id="rId2" xr:uid="{00000000-0004-0000-0C00-000001000000}"/>
    <hyperlink ref="D7" r:id="rId3" xr:uid="{00000000-0004-0000-0C00-000002000000}"/>
    <hyperlink ref="D8" r:id="rId4" xr:uid="{00000000-0004-0000-0C00-000003000000}"/>
    <hyperlink ref="D9" r:id="rId5" xr:uid="{00000000-0004-0000-0C00-000004000000}"/>
    <hyperlink ref="D10" r:id="rId6" xr:uid="{00000000-0004-0000-0C00-000005000000}"/>
    <hyperlink ref="D11" r:id="rId7" xr:uid="{00000000-0004-0000-0C00-000006000000}"/>
    <hyperlink ref="D12" r:id="rId8" xr:uid="{00000000-0004-0000-0C00-000007000000}"/>
    <hyperlink ref="D13" r:id="rId9" xr:uid="{00000000-0004-0000-0C00-000008000000}"/>
    <hyperlink ref="D14" r:id="rId10" xr:uid="{00000000-0004-0000-0C00-000009000000}"/>
    <hyperlink ref="D15" r:id="rId11" xr:uid="{00000000-0004-0000-0C00-00000A000000}"/>
    <hyperlink ref="D16" r:id="rId12" xr:uid="{00000000-0004-0000-0C00-00000B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2026-08-26T06:08:48Z</dcterms:created>
  <dcterms:modified xsi:type="dcterms:W3CDTF">2026-09-01T13:51:52Z</dcterms:modified>
  <cp:category/>
  <cp:contentStatus/>
</cp:coreProperties>
</file>